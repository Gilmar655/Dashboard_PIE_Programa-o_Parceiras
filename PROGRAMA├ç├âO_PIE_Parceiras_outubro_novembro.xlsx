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8_{88721833-0AEA-4539-B8DF-BF6D714A2EC5}" xr6:coauthVersionLast="47" xr6:coauthVersionMax="47" xr10:uidLastSave="{00000000-0000-0000-0000-000000000000}"/>
  <bookViews>
    <workbookView xWindow="-120" yWindow="-120" windowWidth="29040" windowHeight="15720" xr2:uid="{D59D1A83-D1BB-4834-9898-9293CB077E83}"/>
  </bookViews>
  <sheets>
    <sheet name="Dashboard PIE" sheetId="3" r:id="rId1"/>
    <sheet name="PIE" sheetId="1" r:id="rId2"/>
    <sheet name="Dados Dashboard" sheetId="2" state="hidden" r:id="rId3"/>
  </sheets>
  <definedNames>
    <definedName name="SegmentaçãodeDados_Contratada">#N/A</definedName>
    <definedName name="SegmentaçãodeDados_Descrição_do_Projeto">#N/A</definedName>
    <definedName name="SegmentaçãodeDados_Regiao">#N/A</definedName>
    <definedName name="SegmentaçãodeDados_Status_Programaca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  <x14:slicerCache r:id="rId5"/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66" i="1" l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H8" i="2" s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K5" i="2" s="1"/>
  <c r="M22" i="1"/>
  <c r="M21" i="1"/>
  <c r="M20" i="1"/>
  <c r="M19" i="1"/>
  <c r="M18" i="1"/>
  <c r="M17" i="1"/>
  <c r="M16" i="1"/>
  <c r="M15" i="1"/>
  <c r="M14" i="1"/>
  <c r="M13" i="1"/>
  <c r="H7" i="2" s="1"/>
  <c r="M12" i="1"/>
  <c r="M11" i="1"/>
  <c r="M10" i="1"/>
  <c r="M9" i="1"/>
  <c r="M8" i="1"/>
  <c r="M7" i="1"/>
  <c r="M6" i="1"/>
  <c r="M5" i="1"/>
  <c r="M4" i="1"/>
  <c r="M3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M2" i="1"/>
  <c r="L2" i="1"/>
  <c r="B4" i="2" l="1"/>
  <c r="K3" i="2"/>
  <c r="K2" i="2"/>
  <c r="N5" i="2"/>
  <c r="N6" i="2"/>
  <c r="Q6" i="3"/>
  <c r="N3" i="2"/>
  <c r="H3" i="2"/>
  <c r="B3" i="2"/>
  <c r="H5" i="2"/>
  <c r="E3" i="2"/>
  <c r="H4" i="2"/>
  <c r="K4" i="2"/>
  <c r="E2" i="2"/>
  <c r="N2" i="2"/>
  <c r="H2" i="2"/>
  <c r="N4" i="2"/>
  <c r="H6" i="2"/>
  <c r="A6" i="3"/>
  <c r="E6" i="3"/>
  <c r="I6" i="3"/>
  <c r="B2" i="2"/>
  <c r="M6" i="3"/>
</calcChain>
</file>

<file path=xl/sharedStrings.xml><?xml version="1.0" encoding="utf-8"?>
<sst xmlns="http://schemas.openxmlformats.org/spreadsheetml/2006/main" count="525" uniqueCount="149">
  <si>
    <t>Projeto</t>
  </si>
  <si>
    <t>Descrição do Projeto</t>
  </si>
  <si>
    <t>Data Programacao</t>
  </si>
  <si>
    <t>Status Programacao</t>
  </si>
  <si>
    <t>Tipo Intervencao</t>
  </si>
  <si>
    <t>Numero PowerON</t>
  </si>
  <si>
    <t>Equipamentos</t>
  </si>
  <si>
    <t>Regiao</t>
  </si>
  <si>
    <t>Horario Inicio</t>
  </si>
  <si>
    <t>Horario Fim</t>
  </si>
  <si>
    <t>Contratada</t>
  </si>
  <si>
    <t>DAC/A.ABC.26.00361</t>
  </si>
  <si>
    <t>Alteração de Carga</t>
  </si>
  <si>
    <t>Liberado para Execução</t>
  </si>
  <si>
    <t>PIE</t>
  </si>
  <si>
    <t>16909852</t>
  </si>
  <si>
    <t>035ET077870</t>
  </si>
  <si>
    <t>ABC</t>
  </si>
  <si>
    <t>Start Engenharia (Área 8B, 9  e 11) NEC</t>
  </si>
  <si>
    <t>DAC/A.ABC.26.00360</t>
  </si>
  <si>
    <t>DMP/A.LES.22.02023</t>
  </si>
  <si>
    <t>Rede Compacta</t>
  </si>
  <si>
    <t>16971731</t>
  </si>
  <si>
    <t>356ET093220</t>
  </si>
  <si>
    <t>LES</t>
  </si>
  <si>
    <t>Engelmig (Área 11) NEC e UPS</t>
  </si>
  <si>
    <t>DAC/A.LES.24.00552</t>
  </si>
  <si>
    <t>Afastamento de Rede (Clientes)</t>
  </si>
  <si>
    <t>DEVOLVIDO</t>
  </si>
  <si>
    <t>356ET014765</t>
  </si>
  <si>
    <t>DAC/A.LES.24.00551</t>
  </si>
  <si>
    <t>DAC/A.LES.24.00553</t>
  </si>
  <si>
    <t>DAC/A.LES.26.01126</t>
  </si>
  <si>
    <t>Ligação Nova</t>
  </si>
  <si>
    <t>16936764</t>
  </si>
  <si>
    <t>356ET162584</t>
  </si>
  <si>
    <t>DMP/A.LES.26.01978</t>
  </si>
  <si>
    <t>RESOLVIDO</t>
  </si>
  <si>
    <t>356ET006621</t>
  </si>
  <si>
    <t>DMP/A.LES.26.03035</t>
  </si>
  <si>
    <t>DMP/A.LES.26.01050</t>
  </si>
  <si>
    <t>Resolvido</t>
  </si>
  <si>
    <t>ET-072312</t>
  </si>
  <si>
    <t>DAC/A.LES.26.01189</t>
  </si>
  <si>
    <t>Migração para Média Tensão</t>
  </si>
  <si>
    <t>Liberado para Documentação</t>
  </si>
  <si>
    <t>353ET037961</t>
  </si>
  <si>
    <t>Conecta Obras Extras (Área 8B, 9 e 11) NEC</t>
  </si>
  <si>
    <t>DMP/A.LES.24.07670</t>
  </si>
  <si>
    <t>Reforma de Rede Secundaria RTRI</t>
  </si>
  <si>
    <t>16939216</t>
  </si>
  <si>
    <t>353ET006456</t>
  </si>
  <si>
    <t>DMP/A.LES.22.01917</t>
  </si>
  <si>
    <t>Pendente de Aprovação</t>
  </si>
  <si>
    <t>356ET093226</t>
  </si>
  <si>
    <t>DMP/A.LES.22.01894</t>
  </si>
  <si>
    <t>DMP/A.LES.23.01130</t>
  </si>
  <si>
    <t>16979041</t>
  </si>
  <si>
    <t>010CF016849</t>
  </si>
  <si>
    <t>DAC/A.ABC.26.00475</t>
  </si>
  <si>
    <t>16939280</t>
  </si>
  <si>
    <t>010ET041994</t>
  </si>
  <si>
    <t>DMP/A.LES.23.01127</t>
  </si>
  <si>
    <t>DMP/A.LES.23.01129</t>
  </si>
  <si>
    <t>DMP/A.LES.26.01039</t>
  </si>
  <si>
    <t>356ET160992</t>
  </si>
  <si>
    <t>DMP/A.LES.21.16603</t>
  </si>
  <si>
    <t>356ET093228</t>
  </si>
  <si>
    <t>DMP/A.LES.24.04905</t>
  </si>
  <si>
    <t>353ET013232</t>
  </si>
  <si>
    <t>ZZOUT-Start Área 8B+11 (Contrato Antigo)</t>
  </si>
  <si>
    <t>DAC/A.LES.26.00849</t>
  </si>
  <si>
    <t>353ET012209</t>
  </si>
  <si>
    <t>DMP/A.LES.26.01045</t>
  </si>
  <si>
    <t>356ET054211</t>
  </si>
  <si>
    <t>DMP/A.LES.26.01046</t>
  </si>
  <si>
    <t>356ET092974</t>
  </si>
  <si>
    <t>DMP/A.LES.22.01992</t>
  </si>
  <si>
    <t>356ET093246</t>
  </si>
  <si>
    <t>DMP/A.LES.26.01968</t>
  </si>
  <si>
    <t>356ET160537</t>
  </si>
  <si>
    <t>DMP/A.LES.21.13536</t>
  </si>
  <si>
    <t>356ET161406</t>
  </si>
  <si>
    <t>DMP/A.LES.21.17522</t>
  </si>
  <si>
    <t>DMP/A.LES.25.01147</t>
  </si>
  <si>
    <t>010ET056930</t>
  </si>
  <si>
    <t>DMP/A.LES.26.01048</t>
  </si>
  <si>
    <t>DAC/A.LES.26.00600</t>
  </si>
  <si>
    <t>353BF058433</t>
  </si>
  <si>
    <t>DAC/A.LES.26.00588</t>
  </si>
  <si>
    <t>DAC/A.LES.26.00586</t>
  </si>
  <si>
    <t>DAC/A.LES.26.01103</t>
  </si>
  <si>
    <t>356ET068100</t>
  </si>
  <si>
    <t>DAC/A.LES.26.01158</t>
  </si>
  <si>
    <t>353BF053883</t>
  </si>
  <si>
    <t>DMP/A.LES.26.01049</t>
  </si>
  <si>
    <t>DMP/A.LES.24.05264</t>
  </si>
  <si>
    <t>Substituição de Poste em Mau Estado</t>
  </si>
  <si>
    <t>010ET220437</t>
  </si>
  <si>
    <t>DAC/A.LES.25.00749</t>
  </si>
  <si>
    <t>353ET053245</t>
  </si>
  <si>
    <t>DAC/A.LES.26.01203</t>
  </si>
  <si>
    <t>353ET171440</t>
  </si>
  <si>
    <t>DMP/A.LES.26.03366</t>
  </si>
  <si>
    <t>356BF041141</t>
  </si>
  <si>
    <t>DMP/A.LES.26.01962</t>
  </si>
  <si>
    <t>DMP/A.LES.26.03105</t>
  </si>
  <si>
    <t>356ET052591</t>
  </si>
  <si>
    <t>DMP/A.LES.26.03104</t>
  </si>
  <si>
    <t>DMP/A.LES.26.03156</t>
  </si>
  <si>
    <t>356ET059090</t>
  </si>
  <si>
    <t>DMP/A.LES.21.17598</t>
  </si>
  <si>
    <t>356BF140256</t>
  </si>
  <si>
    <t>DMP/A.LES.21.16945</t>
  </si>
  <si>
    <t>010IP012003</t>
  </si>
  <si>
    <t>DMP/A.LES.23.01107</t>
  </si>
  <si>
    <t>DMP/A.ABC.26.00544</t>
  </si>
  <si>
    <t>010ET010168</t>
  </si>
  <si>
    <t>DAC/A.LES.25.01239</t>
  </si>
  <si>
    <t>ET-026958</t>
  </si>
  <si>
    <t>DMP/A.ABC.26.00545</t>
  </si>
  <si>
    <t>010ET027178</t>
  </si>
  <si>
    <t>DMP/A.ABC.26.00542</t>
  </si>
  <si>
    <t>010ET006479</t>
  </si>
  <si>
    <t>DAC/A.LES.26.00598</t>
  </si>
  <si>
    <t>353ET021648</t>
  </si>
  <si>
    <t>DAC/A.LES.26.00597</t>
  </si>
  <si>
    <t>DAC/A.LES.26.00596</t>
  </si>
  <si>
    <t>DAC/A.LES.26.00595</t>
  </si>
  <si>
    <t>DAC/A.LES.26.00587</t>
  </si>
  <si>
    <t>DAC/A.LES.26.00599</t>
  </si>
  <si>
    <t>DAC/A.LES.26.00601</t>
  </si>
  <si>
    <t>DAC/A.LES.26.00602</t>
  </si>
  <si>
    <t>DMP/A.ABC.26.00536</t>
  </si>
  <si>
    <t>Duração (h)</t>
  </si>
  <si>
    <t>Visível</t>
  </si>
  <si>
    <t>Status</t>
  </si>
  <si>
    <t>Quantidade</t>
  </si>
  <si>
    <t>Região</t>
  </si>
  <si>
    <t>Tipo de serviço</t>
  </si>
  <si>
    <t>Semana iniciada em</t>
  </si>
  <si>
    <t>PAINEL DE PROGRAMAÇÃO PIE</t>
  </si>
  <si>
    <t>Visão executiva de 65 programações | Período: 20/10/2026 a 22/11/2026 | Use os filtros abaixo</t>
  </si>
  <si>
    <t>PROGRAMAÇÕES</t>
  </si>
  <si>
    <t>LIBERADAS P/ EXECUÇÃO</t>
  </si>
  <si>
    <t>PENDENTES DE APROVAÇÃO</t>
  </si>
  <si>
    <t>SEM NÚMERO POWERON</t>
  </si>
  <si>
    <t>DURAÇÃO MÉDIA</t>
  </si>
  <si>
    <t>FILTROS INTERATIVOS — selecione um ou mais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</si>
</sst>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"/>
    <numFmt numFmtId="166" formatCode="0.0\ &quot;h&quot;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22"/>
      <color rgb="FFFFFFFF"/>
      <name val="Aptos Narrow"/>
      <family val="2"/>
      <scheme val="minor"/>
    </font>
    <font>
      <i/>
      <sz val="11"/>
      <color rgb="FF526779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24"/>
      <color rgb="FFFFFFFF"/>
      <name val="Aptos Narrow"/>
      <family val="2"/>
      <scheme val="minor"/>
    </font>
    <font>
      <b/>
      <sz val="11"/>
      <color rgb="FF17365D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C77700"/>
        <bgColor indexed="64"/>
      </patternFill>
    </fill>
    <fill>
      <patternFill patternType="solid">
        <fgColor rgb="FFA23B3B"/>
        <bgColor indexed="64"/>
      </patternFill>
    </fill>
    <fill>
      <patternFill patternType="solid">
        <fgColor rgb="FF5B4B8A"/>
        <bgColor indexed="64"/>
      </patternFill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2" fillId="0" borderId="0" xfId="0" applyFont="1"/>
    <xf numFmtId="165" fontId="2" fillId="0" borderId="0" xfId="0" applyNumberFormat="1" applyFont="1"/>
    <xf numFmtId="0" fontId="3" fillId="2" borderId="0" xfId="0" applyFont="1" applyFill="1"/>
    <xf numFmtId="0" fontId="2" fillId="3" borderId="0" xfId="0" applyFont="1" applyFill="1"/>
    <xf numFmtId="0" fontId="4" fillId="2" borderId="0" xfId="0" applyFont="1" applyFill="1" applyAlignment="1">
      <alignment horizontal="left" vertic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1" fontId="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6" fontId="7" fillId="8" borderId="0" xfId="0" applyNumberFormat="1" applyFont="1" applyFill="1" applyAlignment="1">
      <alignment horizontal="center" vertical="center"/>
    </xf>
    <xf numFmtId="0" fontId="8" fillId="9" borderId="0" xfId="0" applyFont="1" applyFill="1"/>
  </cellXfs>
  <cellStyles count="1">
    <cellStyle name="Normal" xfId="0" builtinId="0"/>
  </cellStyles>
  <dxfs count="5">
    <dxf>
      <numFmt numFmtId="164" formatCode="0.0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microsoft.com/office/2017/10/relationships/person" Target="persons/perso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Status da programação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'Dados Dashboard'!$B$1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B7-4205-A79A-A7281577A8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B7-4205-A79A-A7281577A8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B7-4205-A79A-A7281577A8AB}"/>
              </c:ext>
            </c:extLst>
          </c:dPt>
          <c:dLbls>
            <c:dLbl>
              <c:idx val="0"/>
              <c:layout>
                <c:manualLayout>
                  <c:x val="0.28888888888888886"/>
                  <c:y val="3.450980392156874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B7-4205-A79A-A7281577A8AB}"/>
                </c:ext>
              </c:extLst>
            </c:dLbl>
            <c:dLbl>
              <c:idx val="1"/>
              <c:layout>
                <c:manualLayout>
                  <c:x val="0.28333333333333333"/>
                  <c:y val="4.392156862745098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2B7-4205-A79A-A7281577A8AB}"/>
                </c:ext>
              </c:extLst>
            </c:dLbl>
            <c:dLbl>
              <c:idx val="2"/>
              <c:layout>
                <c:manualLayout>
                  <c:x val="-0.26666666666666672"/>
                  <c:y val="1.882352941176467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B7-4205-A79A-A7281577A8AB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Dashboard'!$A$2:$A$4</c:f>
              <c:strCache>
                <c:ptCount val="3"/>
                <c:pt idx="0">
                  <c:v>Liberado para Execução</c:v>
                </c:pt>
                <c:pt idx="1">
                  <c:v>Pendente de Aprovação</c:v>
                </c:pt>
                <c:pt idx="2">
                  <c:v>Liberado para Documentação</c:v>
                </c:pt>
              </c:strCache>
            </c:strRef>
          </c:cat>
          <c:val>
            <c:numRef>
              <c:f>'Dados Dashboard'!$B$2:$B$4</c:f>
              <c:numCache>
                <c:formatCode>General</c:formatCode>
                <c:ptCount val="3"/>
                <c:pt idx="0">
                  <c:v>23</c:v>
                </c:pt>
                <c:pt idx="1">
                  <c:v>22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7-4205-A79A-A7281577A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Distribuição regional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Dashboard'!$E$1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3F7CAC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Dashboard'!$D$2:$D$3</c:f>
              <c:strCache>
                <c:ptCount val="2"/>
                <c:pt idx="0">
                  <c:v>LES</c:v>
                </c:pt>
                <c:pt idx="1">
                  <c:v>ABC</c:v>
                </c:pt>
              </c:strCache>
            </c:strRef>
          </c:cat>
          <c:val>
            <c:numRef>
              <c:f>'Dados Dashboard'!$E$2:$E$3</c:f>
              <c:numCache>
                <c:formatCode>General</c:formatCode>
                <c:ptCount val="2"/>
                <c:pt idx="0">
                  <c:v>58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F-4C61-B06D-32128FDE6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938048"/>
        <c:axId val="1825831824"/>
      </c:barChart>
      <c:catAx>
        <c:axId val="186393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25831824"/>
        <c:crosses val="autoZero"/>
        <c:auto val="1"/>
        <c:lblAlgn val="ctr"/>
        <c:lblOffset val="100"/>
        <c:noMultiLvlLbl val="0"/>
      </c:catAx>
      <c:valAx>
        <c:axId val="18258318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93804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Tipos de intervenção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'Dados Dashboard'!$H$1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2A9D8F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Dashboard'!$G$2:$G$8</c:f>
              <c:strCache>
                <c:ptCount val="7"/>
                <c:pt idx="0">
                  <c:v>Rede Compacta</c:v>
                </c:pt>
                <c:pt idx="1">
                  <c:v>Afastamento de Rede (Clientes)</c:v>
                </c:pt>
                <c:pt idx="2">
                  <c:v>Alteração de Carga</c:v>
                </c:pt>
                <c:pt idx="3">
                  <c:v>Ligação Nova</c:v>
                </c:pt>
                <c:pt idx="4">
                  <c:v>Migração para Média Tensão</c:v>
                </c:pt>
                <c:pt idx="5">
                  <c:v>Reforma de Rede Secundaria RTRI</c:v>
                </c:pt>
                <c:pt idx="6">
                  <c:v>Substituição de Poste em Mau Estado</c:v>
                </c:pt>
              </c:strCache>
            </c:strRef>
          </c:cat>
          <c:val>
            <c:numRef>
              <c:f>'Dados Dashboard'!$H$2:$H$8</c:f>
              <c:numCache>
                <c:formatCode>General</c:formatCode>
                <c:ptCount val="7"/>
                <c:pt idx="0">
                  <c:v>37</c:v>
                </c:pt>
                <c:pt idx="1">
                  <c:v>15</c:v>
                </c:pt>
                <c:pt idx="2">
                  <c:v>5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4-4797-B48F-E94818C60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3941760"/>
        <c:axId val="1897355152"/>
      </c:barChart>
      <c:catAx>
        <c:axId val="1863941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355152"/>
        <c:crosses val="autoZero"/>
        <c:auto val="1"/>
        <c:lblAlgn val="ctr"/>
        <c:lblOffset val="100"/>
        <c:noMultiLvlLbl val="0"/>
      </c:catAx>
      <c:valAx>
        <c:axId val="18973551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94176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Agenda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'Dados Dashboard'!$N$1</c:f>
              <c:strCache>
                <c:ptCount val="1"/>
                <c:pt idx="0">
                  <c:v>Quantidade</c:v>
                </c:pt>
              </c:strCache>
            </c:strRef>
          </c:tx>
          <c:spPr>
            <a:ln w="28575" cap="rnd">
              <a:solidFill>
                <a:srgbClr val="E07A5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'Dados Dashboard'!$M$2:$M$6</c:f>
              <c:numCache>
                <c:formatCode>dd/mm</c:formatCode>
                <c:ptCount val="5"/>
                <c:pt idx="0">
                  <c:v>46314</c:v>
                </c:pt>
                <c:pt idx="1">
                  <c:v>46321</c:v>
                </c:pt>
                <c:pt idx="2">
                  <c:v>46328</c:v>
                </c:pt>
                <c:pt idx="3">
                  <c:v>46335</c:v>
                </c:pt>
                <c:pt idx="4">
                  <c:v>46342</c:v>
                </c:pt>
              </c:numCache>
            </c:numRef>
          </c:cat>
          <c:val>
            <c:numRef>
              <c:f>'Dados Dashboard'!$N$2:$N$6</c:f>
              <c:numCache>
                <c:formatCode>General</c:formatCode>
                <c:ptCount val="5"/>
                <c:pt idx="0">
                  <c:v>9</c:v>
                </c:pt>
                <c:pt idx="1">
                  <c:v>17</c:v>
                </c:pt>
                <c:pt idx="2">
                  <c:v>12</c:v>
                </c:pt>
                <c:pt idx="3">
                  <c:v>22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D-4B56-A1CF-DC46B45ED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245327"/>
        <c:axId val="1897355632"/>
      </c:lineChart>
      <c:dateAx>
        <c:axId val="1128245327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355632"/>
        <c:crosses val="autoZero"/>
        <c:auto val="0"/>
        <c:lblOffset val="100"/>
        <c:baseTimeUnit val="days"/>
        <c:majorUnit val="7"/>
        <c:majorTimeUnit val="days"/>
      </c:dateAx>
      <c:valAx>
        <c:axId val="1897355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28245327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Volume por contratada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'Dados Dashboard'!$K$1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5B4B8A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Dashboard'!$J$2:$J$5</c:f>
              <c:strCache>
                <c:ptCount val="4"/>
                <c:pt idx="0">
                  <c:v>Engelmig (Área 11) NEC e UPS</c:v>
                </c:pt>
                <c:pt idx="1">
                  <c:v>Conecta Obras Extras (Área 8B, 9 e 11) NEC</c:v>
                </c:pt>
                <c:pt idx="2">
                  <c:v>Start Engenharia (Área 8B, 9  e 11) NEC</c:v>
                </c:pt>
                <c:pt idx="3">
                  <c:v>ZZOUT-Start Área 8B+11 (Contrato Antigo)</c:v>
                </c:pt>
              </c:strCache>
            </c:strRef>
          </c:cat>
          <c:val>
            <c:numRef>
              <c:f>'Dados Dashboard'!$K$2:$K$5</c:f>
              <c:numCache>
                <c:formatCode>General</c:formatCode>
                <c:ptCount val="4"/>
                <c:pt idx="0">
                  <c:v>25</c:v>
                </c:pt>
                <c:pt idx="1">
                  <c:v>24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BE-42C4-99B3-8FB87D7E6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106016"/>
        <c:axId val="1897361872"/>
      </c:barChart>
      <c:catAx>
        <c:axId val="186410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7361872"/>
        <c:crosses val="autoZero"/>
        <c:auto val="1"/>
        <c:lblAlgn val="ctr"/>
        <c:lblOffset val="100"/>
        <c:noMultiLvlLbl val="0"/>
      </c:catAx>
      <c:valAx>
        <c:axId val="18973618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410601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3" name="Status da Programação">
          <a:extLst>
            <a:ext uri="{FF2B5EF4-FFF2-40B4-BE49-F238E27FC236}">
              <a16:creationId xmlns:a16="http://schemas.microsoft.com/office/drawing/2014/main" id="{0B441DF8-D3B8-46DA-449F-A0F527AE1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4" name="Distribuição Regional">
          <a:extLst>
            <a:ext uri="{FF2B5EF4-FFF2-40B4-BE49-F238E27FC236}">
              <a16:creationId xmlns:a16="http://schemas.microsoft.com/office/drawing/2014/main" id="{7ABF7099-12D3-1732-EF67-AA6D66C12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10</xdr:col>
      <xdr:colOff>0</xdr:colOff>
      <xdr:row>55</xdr:row>
      <xdr:rowOff>0</xdr:rowOff>
    </xdr:to>
    <xdr:graphicFrame macro="">
      <xdr:nvGraphicFramePr>
        <xdr:cNvPr id="5" name="Tipos de Intervenção">
          <a:extLst>
            <a:ext uri="{FF2B5EF4-FFF2-40B4-BE49-F238E27FC236}">
              <a16:creationId xmlns:a16="http://schemas.microsoft.com/office/drawing/2014/main" id="{2FBCC20B-F640-B9E9-E811-4D32567B8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36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6" name="Agenda Semanal">
          <a:extLst>
            <a:ext uri="{FF2B5EF4-FFF2-40B4-BE49-F238E27FC236}">
              <a16:creationId xmlns:a16="http://schemas.microsoft.com/office/drawing/2014/main" id="{EB079231-1472-5760-7D95-470571FF4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56</xdr:row>
      <xdr:rowOff>0</xdr:rowOff>
    </xdr:from>
    <xdr:to>
      <xdr:col>20</xdr:col>
      <xdr:colOff>0</xdr:colOff>
      <xdr:row>75</xdr:row>
      <xdr:rowOff>0</xdr:rowOff>
    </xdr:to>
    <xdr:graphicFrame macro="">
      <xdr:nvGraphicFramePr>
        <xdr:cNvPr id="7" name="Volume por Contratada">
          <a:extLst>
            <a:ext uri="{FF2B5EF4-FFF2-40B4-BE49-F238E27FC236}">
              <a16:creationId xmlns:a16="http://schemas.microsoft.com/office/drawing/2014/main" id="{95C337C9-2FE3-BC5D-6CCA-B2CABAD9F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101600</xdr:colOff>
      <xdr:row>10</xdr:row>
      <xdr:rowOff>133350</xdr:rowOff>
    </xdr:from>
    <xdr:to>
      <xdr:col>4</xdr:col>
      <xdr:colOff>342900</xdr:colOff>
      <xdr:row>16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8" name="Filtro_Status">
              <a:extLst>
                <a:ext uri="{FF2B5EF4-FFF2-40B4-BE49-F238E27FC236}">
                  <a16:creationId xmlns:a16="http://schemas.microsoft.com/office/drawing/2014/main" id="{EB738310-0263-5713-2F29-1CFDCF9811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00" y="2514600"/>
              <a:ext cx="29845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4</xdr:col>
      <xdr:colOff>457200</xdr:colOff>
      <xdr:row>10</xdr:row>
      <xdr:rowOff>133350</xdr:rowOff>
    </xdr:from>
    <xdr:to>
      <xdr:col>7</xdr:col>
      <xdr:colOff>241300</xdr:colOff>
      <xdr:row>16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9" name="Filtro_Regiao">
              <a:extLst>
                <a:ext uri="{FF2B5EF4-FFF2-40B4-BE49-F238E27FC236}">
                  <a16:creationId xmlns:a16="http://schemas.microsoft.com/office/drawing/2014/main" id="{34F9B470-34C4-4388-C824-723B5D062D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Regi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0400" y="2514600"/>
              <a:ext cx="18415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355600</xdr:colOff>
      <xdr:row>10</xdr:row>
      <xdr:rowOff>133350</xdr:rowOff>
    </xdr:from>
    <xdr:to>
      <xdr:col>13</xdr:col>
      <xdr:colOff>304800</xdr:colOff>
      <xdr:row>16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0" name="Filtro_Contratada">
              <a:extLst>
                <a:ext uri="{FF2B5EF4-FFF2-40B4-BE49-F238E27FC236}">
                  <a16:creationId xmlns:a16="http://schemas.microsoft.com/office/drawing/2014/main" id="{8030E685-535E-AF84-8E5A-199C6B0037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Contrata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6200" y="2514600"/>
              <a:ext cx="4064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419100</xdr:colOff>
      <xdr:row>10</xdr:row>
      <xdr:rowOff>133350</xdr:rowOff>
    </xdr:from>
    <xdr:to>
      <xdr:col>19</xdr:col>
      <xdr:colOff>495300</xdr:colOff>
      <xdr:row>16</xdr:row>
      <xdr:rowOff>171450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11" name="Filtro_TipoServico">
              <a:extLst>
                <a:ext uri="{FF2B5EF4-FFF2-40B4-BE49-F238E27FC236}">
                  <a16:creationId xmlns:a16="http://schemas.microsoft.com/office/drawing/2014/main" id="{5C08D463-F8AE-F481-8839-86F8121DB0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o_TipoServic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34500" y="2514600"/>
              <a:ext cx="4191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_Programacao" xr10:uid="{66EF25A4-93BB-47ED-AAC1-0195D36FA8CF}" sourceName="Status Programacao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ao" xr10:uid="{7C39292B-3DD8-49A7-A5D8-48214F468C0A}" sourceName="Regiao">
  <extLst>
    <x:ext xmlns:x15="http://schemas.microsoft.com/office/spreadsheetml/2010/11/main" uri="{2F2917AC-EB37-4324-AD4E-5DD8C200BD13}">
      <x15:tableSlicerCache tableId="1" column="8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ratada" xr10:uid="{ADD241F1-66E9-41C7-94E1-8AA95636F317}" sourceName="Contratada">
  <extLst>
    <x:ext xmlns:x15="http://schemas.microsoft.com/office/spreadsheetml/2010/11/main" uri="{2F2917AC-EB37-4324-AD4E-5DD8C200BD13}">
      <x15:tableSlicerCache tableId="1" column="1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scrição_do_Projeto" xr10:uid="{5DC3563D-82A1-4954-88B3-45BD14F38E1F}" sourceName="Descrição do Proje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o_Status" xr10:uid="{4DA87BA5-3CE7-4199-A957-429E3B0D44E4}" cache="SegmentaçãodeDados_Status_Programacao" caption="Status" style="SlicerStyleLight2" rowHeight="257175"/>
  <slicer name="Filtro_Regiao" xr10:uid="{D90DAAD0-743D-4A1C-B6D9-68016079A7E4}" cache="SegmentaçãodeDados_Regiao" caption="Região" style="SlicerStyleLight2" rowHeight="257175"/>
  <slicer name="Filtro_Contratada" xr10:uid="{53C7F275-9B40-47A5-BEEC-07EAE16F3AF8}" cache="SegmentaçãodeDados_Contratada" caption="Contratada" style="SlicerStyleLight2" rowHeight="257175"/>
  <slicer name="Filtro_TipoServico" xr10:uid="{D75B394F-C10C-41EF-BAE4-FEB5417E7078}" cache="SegmentaçãodeDados_Descrição_do_Projeto" caption="Tipo de serviço" startItem="3" style="SlicerStyleLight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734AB-8F0E-49A0-9442-F5C036F889C1}" name="Tabela1" displayName="Tabela1" ref="A1:M66" totalsRowShown="0">
  <autoFilter ref="A1:M66" xr:uid="{098734AB-8F0E-49A0-9442-F5C036F889C1}"/>
  <tableColumns count="13">
    <tableColumn id="1" xr3:uid="{C5033331-1457-4ACB-8DC3-3BC343FBD95E}" name="Projeto"/>
    <tableColumn id="2" xr3:uid="{003238DE-1544-4875-BC0D-077CD4360314}" name="Descrição do Projeto"/>
    <tableColumn id="3" xr3:uid="{1CCC4F81-6BD0-4042-83F1-927BED0C1FB5}" name="Data Programacao" dataDxfId="4"/>
    <tableColumn id="4" xr3:uid="{93A6A6BD-0981-479A-B798-A6D19895E3C1}" name="Status Programacao"/>
    <tableColumn id="5" xr3:uid="{9E13EBAC-4303-465A-AD38-4807EDBE972B}" name="Tipo Intervencao"/>
    <tableColumn id="6" xr3:uid="{E6E06AB8-E2AA-4A9E-9F82-94AA7D099465}" name="Numero PowerON"/>
    <tableColumn id="7" xr3:uid="{A3DEFB50-468A-48E0-9BEA-8BBD3F689FCD}" name="Equipamentos"/>
    <tableColumn id="8" xr3:uid="{89D8DF81-980F-4427-8F10-FA50CC3E50E1}" name="Regiao"/>
    <tableColumn id="9" xr3:uid="{3E5FE64F-3671-4BA4-A60C-D16CF9E5040F}" name="Horario Inicio" dataDxfId="3"/>
    <tableColumn id="10" xr3:uid="{FFCF707E-44F1-4B49-8749-AFCAE8DE4C17}" name="Horario Fim" dataDxfId="2"/>
    <tableColumn id="11" xr3:uid="{3B0FE1AE-E25A-449B-B211-D14A231B7DFF}" name="Contratada"/>
    <tableColumn id="12" xr3:uid="{FD2D0E81-973C-455E-9A53-89046836EE02}" name="Duração (h)" dataDxfId="0">
      <calculatedColumnFormula>(Tabela1[[#This Row],[Horario Fim]]-Tabela1[[#This Row],[Horario Inicio]])*24</calculatedColumnFormula>
    </tableColumn>
    <tableColumn id="13" xr3:uid="{E4BEA767-05C9-44B3-A05F-22FAB41B9CD2}" name="Visível" dataDxfId="1">
      <calculatedColumnFormula>SUBTOTAL(103,Tabela1[[#This Row],[Projeto]])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C923-F753-4C87-8011-D75A96A5A2A1}">
  <dimension ref="A1:T76"/>
  <sheetViews>
    <sheetView tabSelected="1" topLeftCell="A10" workbookViewId="0">
      <selection activeCell="Q6" sqref="Q6:T8"/>
    </sheetView>
  </sheetViews>
  <sheetFormatPr defaultRowHeight="15" x14ac:dyDescent="0.25"/>
  <cols>
    <col min="1" max="20" width="10.28515625" customWidth="1"/>
  </cols>
  <sheetData>
    <row r="1" spans="1:20" ht="18.95" customHeight="1" x14ac:dyDescent="0.25">
      <c r="A1" s="8" t="s">
        <v>141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.9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8.95" customHeight="1" x14ac:dyDescent="0.25">
      <c r="A3" s="9" t="s">
        <v>142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ht="18.9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 ht="18.95" customHeight="1" x14ac:dyDescent="0.25">
      <c r="A5" s="10" t="s">
        <v>143</v>
      </c>
      <c r="B5" s="10"/>
      <c r="C5" s="10"/>
      <c r="D5" s="10"/>
      <c r="E5" s="12" t="s">
        <v>144</v>
      </c>
      <c r="F5" s="12"/>
      <c r="G5" s="12"/>
      <c r="H5" s="12"/>
      <c r="I5" s="14" t="s">
        <v>145</v>
      </c>
      <c r="J5" s="14"/>
      <c r="K5" s="14"/>
      <c r="L5" s="14"/>
      <c r="M5" s="16" t="s">
        <v>146</v>
      </c>
      <c r="N5" s="16"/>
      <c r="O5" s="16"/>
      <c r="P5" s="16"/>
      <c r="Q5" s="18" t="s">
        <v>147</v>
      </c>
      <c r="R5" s="18"/>
      <c r="S5" s="18"/>
      <c r="T5" s="18"/>
    </row>
    <row r="6" spans="1:20" ht="18.95" customHeight="1" x14ac:dyDescent="0.25">
      <c r="A6" s="11">
        <f>SUM(Tabela1[Visível])</f>
        <v>65</v>
      </c>
      <c r="B6" s="11"/>
      <c r="C6" s="11"/>
      <c r="D6" s="11"/>
      <c r="E6" s="13">
        <f>SUMIFS(Tabela1[Visível],Tabela1[Status Programacao],"Liberado para Execução")</f>
        <v>23</v>
      </c>
      <c r="F6" s="13"/>
      <c r="G6" s="13"/>
      <c r="H6" s="13"/>
      <c r="I6" s="15">
        <f>SUMIFS(Tabela1[Visível],Tabela1[Status Programacao],"Pendente de Aprovação")</f>
        <v>22</v>
      </c>
      <c r="J6" s="15"/>
      <c r="K6" s="15"/>
      <c r="L6" s="15"/>
      <c r="M6" s="17">
        <f>SUMIFS(Tabela1[Visível],Tabela1[Numero PowerON],"")</f>
        <v>42</v>
      </c>
      <c r="N6" s="17"/>
      <c r="O6" s="17"/>
      <c r="P6" s="17"/>
      <c r="Q6" s="19">
        <f>IFERROR(SUMPRODUCT(Tabela1[Visível],Tabela1[Duração (h)])/SUM(Tabela1[Visível]),0)</f>
        <v>4.0230769223121641</v>
      </c>
      <c r="R6" s="19"/>
      <c r="S6" s="19"/>
      <c r="T6" s="19"/>
    </row>
    <row r="7" spans="1:20" ht="18.95" customHeight="1" x14ac:dyDescent="0.25">
      <c r="A7" s="11"/>
      <c r="B7" s="11"/>
      <c r="C7" s="11"/>
      <c r="D7" s="11"/>
      <c r="E7" s="13"/>
      <c r="F7" s="13"/>
      <c r="G7" s="13"/>
      <c r="H7" s="13"/>
      <c r="I7" s="15"/>
      <c r="J7" s="15"/>
      <c r="K7" s="15"/>
      <c r="L7" s="15"/>
      <c r="M7" s="17"/>
      <c r="N7" s="17"/>
      <c r="O7" s="17"/>
      <c r="P7" s="17"/>
      <c r="Q7" s="19"/>
      <c r="R7" s="19"/>
      <c r="S7" s="19"/>
      <c r="T7" s="19"/>
    </row>
    <row r="8" spans="1:20" ht="18.95" customHeight="1" x14ac:dyDescent="0.25">
      <c r="A8" s="11"/>
      <c r="B8" s="11"/>
      <c r="C8" s="11"/>
      <c r="D8" s="11"/>
      <c r="E8" s="13"/>
      <c r="F8" s="13"/>
      <c r="G8" s="13"/>
      <c r="H8" s="13"/>
      <c r="I8" s="15"/>
      <c r="J8" s="15"/>
      <c r="K8" s="15"/>
      <c r="L8" s="15"/>
      <c r="M8" s="17"/>
      <c r="N8" s="17"/>
      <c r="O8" s="17"/>
      <c r="P8" s="17"/>
      <c r="Q8" s="19"/>
      <c r="R8" s="19"/>
      <c r="S8" s="19"/>
      <c r="T8" s="19"/>
    </row>
    <row r="9" spans="1:20" ht="18.9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8.95" customHeight="1" x14ac:dyDescent="0.25">
      <c r="A10" s="20" t="s">
        <v>148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 ht="20.100000000000001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20.100000000000001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20.100000000000001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20.100000000000001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20.100000000000001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20.100000000000001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20.100000000000001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8.9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18.9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8.9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8.9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8.9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8.9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18.9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8.9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8.9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8.9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8.9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8.9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8.9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18.9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8.9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8.9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8.9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8.9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8.9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8.9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8.9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8.9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18.9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18.9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18.9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18.9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18.9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8.9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8.9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8.9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8.9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8.9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8.9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8.9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8.9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18.9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18.9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18.9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18.9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18.9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18.9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18.9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18.9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18.9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18.9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18.9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18.9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8.9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8.9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8.9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8.9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8.9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8.9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8.9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8.9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8.9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8.9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8.9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8.9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</sheetData>
  <mergeCells count="13">
    <mergeCell ref="Q5:T5"/>
    <mergeCell ref="Q6:T8"/>
    <mergeCell ref="A10:T10"/>
    <mergeCell ref="A1:T2"/>
    <mergeCell ref="A3:T3"/>
    <mergeCell ref="A5:D5"/>
    <mergeCell ref="A6:D8"/>
    <mergeCell ref="E5:H5"/>
    <mergeCell ref="E6:H8"/>
    <mergeCell ref="I5:L5"/>
    <mergeCell ref="I6:L8"/>
    <mergeCell ref="M5:P5"/>
    <mergeCell ref="M6:P8"/>
  </mergeCells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9E9C-C03D-4971-8963-471E3EAB532A}">
  <sheetPr>
    <tabColor rgb="FF00B050"/>
  </sheetPr>
  <dimension ref="A1:M66"/>
  <sheetViews>
    <sheetView topLeftCell="A10" workbookViewId="0">
      <selection activeCell="E23" sqref="E23"/>
    </sheetView>
  </sheetViews>
  <sheetFormatPr defaultColWidth="9.28515625" defaultRowHeight="15" x14ac:dyDescent="0.25"/>
  <cols>
    <col min="1" max="1" width="19.28515625" bestFit="1" customWidth="1"/>
    <col min="2" max="2" width="34.5703125" bestFit="1" customWidth="1"/>
    <col min="3" max="3" width="19.7109375" customWidth="1"/>
    <col min="4" max="4" width="27.7109375" bestFit="1" customWidth="1"/>
    <col min="5" max="5" width="17.7109375" customWidth="1"/>
    <col min="6" max="6" width="19" customWidth="1"/>
    <col min="7" max="7" width="15.85546875" customWidth="1"/>
    <col min="8" max="8" width="9.140625" customWidth="1"/>
    <col min="9" max="10" width="15.5703125" bestFit="1" customWidth="1"/>
    <col min="11" max="11" width="39" bestFit="1" customWidth="1"/>
    <col min="12" max="13" width="0" hidden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134</v>
      </c>
      <c r="M1" t="s">
        <v>135</v>
      </c>
    </row>
    <row r="2" spans="1:13" x14ac:dyDescent="0.25">
      <c r="A2" t="s">
        <v>11</v>
      </c>
      <c r="B2" t="s">
        <v>12</v>
      </c>
      <c r="C2" s="1">
        <v>46315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46315.416666666701</v>
      </c>
      <c r="J2" s="2">
        <v>46315.583333333299</v>
      </c>
      <c r="K2" t="s">
        <v>18</v>
      </c>
      <c r="L2" s="3">
        <f>(Tabela1[[#This Row],[Horario Fim]]-Tabela1[[#This Row],[Horario Inicio]])*24</f>
        <v>3.9999999983701855</v>
      </c>
      <c r="M2">
        <f>SUBTOTAL(103,Tabela1[[#This Row],[Projeto]])</f>
        <v>1</v>
      </c>
    </row>
    <row r="3" spans="1:13" x14ac:dyDescent="0.25">
      <c r="A3" t="s">
        <v>19</v>
      </c>
      <c r="B3" t="s">
        <v>12</v>
      </c>
      <c r="C3" s="1">
        <v>46315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s="2">
        <v>46315.416666666701</v>
      </c>
      <c r="J3" s="2">
        <v>46315.583333333299</v>
      </c>
      <c r="K3" t="s">
        <v>18</v>
      </c>
      <c r="L3" s="3">
        <f>(Tabela1[[#This Row],[Horario Fim]]-Tabela1[[#This Row],[Horario Inicio]])*24</f>
        <v>3.9999999983701855</v>
      </c>
      <c r="M3">
        <f>SUBTOTAL(103,Tabela1[[#This Row],[Projeto]])</f>
        <v>1</v>
      </c>
    </row>
    <row r="4" spans="1:13" x14ac:dyDescent="0.25">
      <c r="A4" t="s">
        <v>20</v>
      </c>
      <c r="B4" t="s">
        <v>21</v>
      </c>
      <c r="C4" s="1">
        <v>46315</v>
      </c>
      <c r="D4" t="s">
        <v>13</v>
      </c>
      <c r="E4" t="s">
        <v>14</v>
      </c>
      <c r="F4" t="s">
        <v>22</v>
      </c>
      <c r="G4" t="s">
        <v>23</v>
      </c>
      <c r="H4" t="s">
        <v>24</v>
      </c>
      <c r="I4" s="2">
        <v>46315.4375</v>
      </c>
      <c r="J4" s="2">
        <v>46315.604166666701</v>
      </c>
      <c r="K4" t="s">
        <v>25</v>
      </c>
      <c r="L4" s="3">
        <f>(Tabela1[[#This Row],[Horario Fim]]-Tabela1[[#This Row],[Horario Inicio]])*24</f>
        <v>4.0000000008149073</v>
      </c>
      <c r="M4">
        <f>SUBTOTAL(103,Tabela1[[#This Row],[Projeto]])</f>
        <v>1</v>
      </c>
    </row>
    <row r="5" spans="1:13" x14ac:dyDescent="0.25">
      <c r="A5" t="s">
        <v>26</v>
      </c>
      <c r="B5" t="s">
        <v>27</v>
      </c>
      <c r="C5" s="1">
        <v>46319</v>
      </c>
      <c r="D5" t="s">
        <v>13</v>
      </c>
      <c r="E5" t="s">
        <v>14</v>
      </c>
      <c r="F5" t="s">
        <v>28</v>
      </c>
      <c r="G5" t="s">
        <v>29</v>
      </c>
      <c r="H5" t="s">
        <v>24</v>
      </c>
      <c r="I5" s="2">
        <v>46319.416666666701</v>
      </c>
      <c r="J5" s="2">
        <v>46319.583333333299</v>
      </c>
      <c r="K5" t="s">
        <v>18</v>
      </c>
      <c r="L5" s="3">
        <f>(Tabela1[[#This Row],[Horario Fim]]-Tabela1[[#This Row],[Horario Inicio]])*24</f>
        <v>3.9999999983701855</v>
      </c>
      <c r="M5">
        <f>SUBTOTAL(103,Tabela1[[#This Row],[Projeto]])</f>
        <v>1</v>
      </c>
    </row>
    <row r="6" spans="1:13" x14ac:dyDescent="0.25">
      <c r="A6" t="s">
        <v>30</v>
      </c>
      <c r="B6" t="s">
        <v>27</v>
      </c>
      <c r="C6" s="1">
        <v>46319</v>
      </c>
      <c r="D6" t="s">
        <v>13</v>
      </c>
      <c r="E6" t="s">
        <v>14</v>
      </c>
      <c r="F6" t="s">
        <v>28</v>
      </c>
      <c r="G6" t="s">
        <v>29</v>
      </c>
      <c r="H6" t="s">
        <v>24</v>
      </c>
      <c r="I6" s="2">
        <v>46319.416666666701</v>
      </c>
      <c r="J6" s="2">
        <v>46319.583333333299</v>
      </c>
      <c r="K6" t="s">
        <v>18</v>
      </c>
      <c r="L6" s="3">
        <f>(Tabela1[[#This Row],[Horario Fim]]-Tabela1[[#This Row],[Horario Inicio]])*24</f>
        <v>3.9999999983701855</v>
      </c>
      <c r="M6">
        <f>SUBTOTAL(103,Tabela1[[#This Row],[Projeto]])</f>
        <v>1</v>
      </c>
    </row>
    <row r="7" spans="1:13" x14ac:dyDescent="0.25">
      <c r="A7" t="s">
        <v>31</v>
      </c>
      <c r="B7" t="s">
        <v>27</v>
      </c>
      <c r="C7" s="1">
        <v>46319</v>
      </c>
      <c r="D7" t="s">
        <v>13</v>
      </c>
      <c r="E7" t="s">
        <v>14</v>
      </c>
      <c r="F7" t="s">
        <v>28</v>
      </c>
      <c r="G7" t="s">
        <v>29</v>
      </c>
      <c r="H7" t="s">
        <v>24</v>
      </c>
      <c r="I7" s="2">
        <v>46319.416666666701</v>
      </c>
      <c r="J7" s="2">
        <v>46319.583333333299</v>
      </c>
      <c r="K7" t="s">
        <v>18</v>
      </c>
      <c r="L7" s="3">
        <f>(Tabela1[[#This Row],[Horario Fim]]-Tabela1[[#This Row],[Horario Inicio]])*24</f>
        <v>3.9999999983701855</v>
      </c>
      <c r="M7">
        <f>SUBTOTAL(103,Tabela1[[#This Row],[Projeto]])</f>
        <v>1</v>
      </c>
    </row>
    <row r="8" spans="1:13" x14ac:dyDescent="0.25">
      <c r="A8" t="s">
        <v>32</v>
      </c>
      <c r="B8" t="s">
        <v>33</v>
      </c>
      <c r="C8" s="1">
        <v>46317</v>
      </c>
      <c r="D8" t="s">
        <v>13</v>
      </c>
      <c r="E8" t="s">
        <v>14</v>
      </c>
      <c r="F8" t="s">
        <v>34</v>
      </c>
      <c r="G8" t="s">
        <v>35</v>
      </c>
      <c r="H8" t="s">
        <v>24</v>
      </c>
      <c r="I8" s="2">
        <v>46317.395833333299</v>
      </c>
      <c r="J8" s="2">
        <v>46317.5625</v>
      </c>
      <c r="K8" t="s">
        <v>18</v>
      </c>
      <c r="L8" s="3">
        <f>(Tabela1[[#This Row],[Horario Fim]]-Tabela1[[#This Row],[Horario Inicio]])*24</f>
        <v>4.0000000008149073</v>
      </c>
      <c r="M8">
        <f>SUBTOTAL(103,Tabela1[[#This Row],[Projeto]])</f>
        <v>1</v>
      </c>
    </row>
    <row r="9" spans="1:13" x14ac:dyDescent="0.25">
      <c r="A9" t="s">
        <v>36</v>
      </c>
      <c r="B9" t="s">
        <v>21</v>
      </c>
      <c r="C9" s="1">
        <v>46317</v>
      </c>
      <c r="D9" t="s">
        <v>13</v>
      </c>
      <c r="E9" t="s">
        <v>14</v>
      </c>
      <c r="F9" t="s">
        <v>37</v>
      </c>
      <c r="G9" t="s">
        <v>38</v>
      </c>
      <c r="H9" t="s">
        <v>24</v>
      </c>
      <c r="I9" s="2">
        <v>46317.416666666701</v>
      </c>
      <c r="J9" s="2">
        <v>46317.583333333299</v>
      </c>
      <c r="K9" t="s">
        <v>25</v>
      </c>
      <c r="L9" s="3">
        <f>(Tabela1[[#This Row],[Horario Fim]]-Tabela1[[#This Row],[Horario Inicio]])*24</f>
        <v>3.9999999983701855</v>
      </c>
      <c r="M9">
        <f>SUBTOTAL(103,Tabela1[[#This Row],[Projeto]])</f>
        <v>1</v>
      </c>
    </row>
    <row r="10" spans="1:13" x14ac:dyDescent="0.25">
      <c r="A10" t="s">
        <v>39</v>
      </c>
      <c r="B10" t="s">
        <v>21</v>
      </c>
      <c r="C10" s="1">
        <v>46317</v>
      </c>
      <c r="D10" t="s">
        <v>13</v>
      </c>
      <c r="E10" t="s">
        <v>14</v>
      </c>
      <c r="F10" t="s">
        <v>37</v>
      </c>
      <c r="G10" t="s">
        <v>38</v>
      </c>
      <c r="H10" t="s">
        <v>24</v>
      </c>
      <c r="I10" s="2">
        <v>46317.416666666701</v>
      </c>
      <c r="J10" s="2">
        <v>46317.583333333299</v>
      </c>
      <c r="K10" t="s">
        <v>25</v>
      </c>
      <c r="L10" s="3">
        <f>(Tabela1[[#This Row],[Horario Fim]]-Tabela1[[#This Row],[Horario Inicio]])*24</f>
        <v>3.9999999983701855</v>
      </c>
      <c r="M10">
        <f>SUBTOTAL(103,Tabela1[[#This Row],[Projeto]])</f>
        <v>1</v>
      </c>
    </row>
    <row r="11" spans="1:13" x14ac:dyDescent="0.25">
      <c r="A11" t="s">
        <v>40</v>
      </c>
      <c r="B11" t="s">
        <v>21</v>
      </c>
      <c r="C11" s="1">
        <v>46322</v>
      </c>
      <c r="D11" t="s">
        <v>13</v>
      </c>
      <c r="E11" t="s">
        <v>14</v>
      </c>
      <c r="F11" t="s">
        <v>41</v>
      </c>
      <c r="G11" t="s">
        <v>42</v>
      </c>
      <c r="H11" t="s">
        <v>24</v>
      </c>
      <c r="I11" s="2">
        <v>46322.416666666701</v>
      </c>
      <c r="J11" s="2">
        <v>46322.583333333299</v>
      </c>
      <c r="K11" t="s">
        <v>25</v>
      </c>
      <c r="L11" s="3">
        <f>(Tabela1[[#This Row],[Horario Fim]]-Tabela1[[#This Row],[Horario Inicio]])*24</f>
        <v>3.9999999983701855</v>
      </c>
      <c r="M11">
        <f>SUBTOTAL(103,Tabela1[[#This Row],[Projeto]])</f>
        <v>1</v>
      </c>
    </row>
    <row r="12" spans="1:13" x14ac:dyDescent="0.25">
      <c r="A12" t="s">
        <v>43</v>
      </c>
      <c r="B12" t="s">
        <v>44</v>
      </c>
      <c r="C12" s="1">
        <v>46334</v>
      </c>
      <c r="D12" t="s">
        <v>45</v>
      </c>
      <c r="E12" t="s">
        <v>14</v>
      </c>
      <c r="G12" t="s">
        <v>46</v>
      </c>
      <c r="H12" t="s">
        <v>24</v>
      </c>
      <c r="I12" s="2">
        <v>46334.416666666701</v>
      </c>
      <c r="J12" s="2">
        <v>46334.583333333299</v>
      </c>
      <c r="K12" t="s">
        <v>47</v>
      </c>
      <c r="L12" s="3">
        <f>(Tabela1[[#This Row],[Horario Fim]]-Tabela1[[#This Row],[Horario Inicio]])*24</f>
        <v>3.9999999983701855</v>
      </c>
      <c r="M12">
        <f>SUBTOTAL(103,Tabela1[[#This Row],[Projeto]])</f>
        <v>1</v>
      </c>
    </row>
    <row r="13" spans="1:13" x14ac:dyDescent="0.25">
      <c r="A13" t="s">
        <v>48</v>
      </c>
      <c r="B13" t="s">
        <v>49</v>
      </c>
      <c r="C13" s="1">
        <v>46321</v>
      </c>
      <c r="D13" t="s">
        <v>13</v>
      </c>
      <c r="E13" t="s">
        <v>14</v>
      </c>
      <c r="F13" t="s">
        <v>50</v>
      </c>
      <c r="G13" t="s">
        <v>51</v>
      </c>
      <c r="H13" t="s">
        <v>24</v>
      </c>
      <c r="I13" s="2">
        <v>46321.409722222197</v>
      </c>
      <c r="J13" s="2">
        <v>46321.576388888898</v>
      </c>
      <c r="K13" t="s">
        <v>18</v>
      </c>
      <c r="L13" s="3">
        <f>(Tabela1[[#This Row],[Horario Fim]]-Tabela1[[#This Row],[Horario Inicio]])*24</f>
        <v>4.0000000008149073</v>
      </c>
      <c r="M13">
        <f>SUBTOTAL(103,Tabela1[[#This Row],[Projeto]])</f>
        <v>1</v>
      </c>
    </row>
    <row r="14" spans="1:13" x14ac:dyDescent="0.25">
      <c r="A14" t="s">
        <v>52</v>
      </c>
      <c r="B14" t="s">
        <v>21</v>
      </c>
      <c r="C14" s="1">
        <v>46323</v>
      </c>
      <c r="D14" t="s">
        <v>53</v>
      </c>
      <c r="E14" t="s">
        <v>14</v>
      </c>
      <c r="G14" t="s">
        <v>54</v>
      </c>
      <c r="H14" t="s">
        <v>24</v>
      </c>
      <c r="I14" s="2">
        <v>46323.4375</v>
      </c>
      <c r="J14" s="2">
        <v>46323.604166666701</v>
      </c>
      <c r="K14" t="s">
        <v>25</v>
      </c>
      <c r="L14" s="3">
        <f>(Tabela1[[#This Row],[Horario Fim]]-Tabela1[[#This Row],[Horario Inicio]])*24</f>
        <v>4.0000000008149073</v>
      </c>
      <c r="M14">
        <f>SUBTOTAL(103,Tabela1[[#This Row],[Projeto]])</f>
        <v>1</v>
      </c>
    </row>
    <row r="15" spans="1:13" x14ac:dyDescent="0.25">
      <c r="A15" t="s">
        <v>55</v>
      </c>
      <c r="B15" t="s">
        <v>21</v>
      </c>
      <c r="C15" s="1">
        <v>46323</v>
      </c>
      <c r="D15" t="s">
        <v>53</v>
      </c>
      <c r="E15" t="s">
        <v>14</v>
      </c>
      <c r="G15" t="s">
        <v>54</v>
      </c>
      <c r="H15" t="s">
        <v>24</v>
      </c>
      <c r="I15" s="2">
        <v>46323.4375</v>
      </c>
      <c r="J15" s="2">
        <v>46323.604166666701</v>
      </c>
      <c r="K15" t="s">
        <v>25</v>
      </c>
      <c r="L15" s="3">
        <f>(Tabela1[[#This Row],[Horario Fim]]-Tabela1[[#This Row],[Horario Inicio]])*24</f>
        <v>4.0000000008149073</v>
      </c>
      <c r="M15">
        <f>SUBTOTAL(103,Tabela1[[#This Row],[Projeto]])</f>
        <v>1</v>
      </c>
    </row>
    <row r="16" spans="1:13" x14ac:dyDescent="0.25">
      <c r="A16" t="s">
        <v>56</v>
      </c>
      <c r="B16" t="s">
        <v>21</v>
      </c>
      <c r="C16" s="1">
        <v>46324</v>
      </c>
      <c r="D16" t="s">
        <v>13</v>
      </c>
      <c r="E16" t="s">
        <v>14</v>
      </c>
      <c r="F16" t="s">
        <v>57</v>
      </c>
      <c r="G16" t="s">
        <v>58</v>
      </c>
      <c r="H16" t="s">
        <v>24</v>
      </c>
      <c r="I16" s="2">
        <v>46324.4375</v>
      </c>
      <c r="J16" s="2">
        <v>46324.604166666701</v>
      </c>
      <c r="K16" t="s">
        <v>47</v>
      </c>
      <c r="L16" s="3">
        <f>(Tabela1[[#This Row],[Horario Fim]]-Tabela1[[#This Row],[Horario Inicio]])*24</f>
        <v>4.0000000008149073</v>
      </c>
      <c r="M16">
        <f>SUBTOTAL(103,Tabela1[[#This Row],[Projeto]])</f>
        <v>1</v>
      </c>
    </row>
    <row r="17" spans="1:13" x14ac:dyDescent="0.25">
      <c r="A17" t="s">
        <v>59</v>
      </c>
      <c r="B17" t="s">
        <v>12</v>
      </c>
      <c r="C17" s="1">
        <v>46322</v>
      </c>
      <c r="D17" t="s">
        <v>13</v>
      </c>
      <c r="E17" t="s">
        <v>14</v>
      </c>
      <c r="F17" t="s">
        <v>60</v>
      </c>
      <c r="G17" t="s">
        <v>61</v>
      </c>
      <c r="H17" t="s">
        <v>17</v>
      </c>
      <c r="I17" s="2">
        <v>46322.4375</v>
      </c>
      <c r="J17" s="2">
        <v>46322.604166666701</v>
      </c>
      <c r="K17" t="s">
        <v>18</v>
      </c>
      <c r="L17" s="3">
        <f>(Tabela1[[#This Row],[Horario Fim]]-Tabela1[[#This Row],[Horario Inicio]])*24</f>
        <v>4.0000000008149073</v>
      </c>
      <c r="M17">
        <f>SUBTOTAL(103,Tabela1[[#This Row],[Projeto]])</f>
        <v>1</v>
      </c>
    </row>
    <row r="18" spans="1:13" x14ac:dyDescent="0.25">
      <c r="A18" t="s">
        <v>62</v>
      </c>
      <c r="B18" t="s">
        <v>21</v>
      </c>
      <c r="C18" s="1">
        <v>46324</v>
      </c>
      <c r="D18" t="s">
        <v>13</v>
      </c>
      <c r="E18" t="s">
        <v>14</v>
      </c>
      <c r="F18" t="s">
        <v>57</v>
      </c>
      <c r="G18" t="s">
        <v>58</v>
      </c>
      <c r="H18" t="s">
        <v>24</v>
      </c>
      <c r="I18" s="2">
        <v>46324.4375</v>
      </c>
      <c r="J18" s="2">
        <v>46324.604166666701</v>
      </c>
      <c r="K18" t="s">
        <v>47</v>
      </c>
      <c r="L18" s="3">
        <f>(Tabela1[[#This Row],[Horario Fim]]-Tabela1[[#This Row],[Horario Inicio]])*24</f>
        <v>4.0000000008149073</v>
      </c>
      <c r="M18">
        <f>SUBTOTAL(103,Tabela1[[#This Row],[Projeto]])</f>
        <v>1</v>
      </c>
    </row>
    <row r="19" spans="1:13" x14ac:dyDescent="0.25">
      <c r="A19" t="s">
        <v>63</v>
      </c>
      <c r="B19" t="s">
        <v>21</v>
      </c>
      <c r="C19" s="1">
        <v>46324</v>
      </c>
      <c r="D19" t="s">
        <v>13</v>
      </c>
      <c r="E19" t="s">
        <v>14</v>
      </c>
      <c r="F19" t="s">
        <v>57</v>
      </c>
      <c r="G19" t="s">
        <v>58</v>
      </c>
      <c r="H19" t="s">
        <v>24</v>
      </c>
      <c r="I19" s="2">
        <v>46324.4375</v>
      </c>
      <c r="J19" s="2">
        <v>46324.604166666701</v>
      </c>
      <c r="K19" t="s">
        <v>47</v>
      </c>
      <c r="L19" s="3">
        <f>(Tabela1[[#This Row],[Horario Fim]]-Tabela1[[#This Row],[Horario Inicio]])*24</f>
        <v>4.0000000008149073</v>
      </c>
      <c r="M19">
        <f>SUBTOTAL(103,Tabela1[[#This Row],[Projeto]])</f>
        <v>1</v>
      </c>
    </row>
    <row r="20" spans="1:13" x14ac:dyDescent="0.25">
      <c r="A20" t="s">
        <v>64</v>
      </c>
      <c r="B20" t="s">
        <v>21</v>
      </c>
      <c r="C20" s="1">
        <v>46324</v>
      </c>
      <c r="D20" t="s">
        <v>13</v>
      </c>
      <c r="E20" t="s">
        <v>14</v>
      </c>
      <c r="F20" t="s">
        <v>37</v>
      </c>
      <c r="G20" t="s">
        <v>65</v>
      </c>
      <c r="H20" t="s">
        <v>24</v>
      </c>
      <c r="I20" s="2">
        <v>46324.416666666701</v>
      </c>
      <c r="J20" s="2">
        <v>46324.541666666701</v>
      </c>
      <c r="K20" t="s">
        <v>18</v>
      </c>
      <c r="L20" s="3">
        <f>(Tabela1[[#This Row],[Horario Fim]]-Tabela1[[#This Row],[Horario Inicio]])*24</f>
        <v>3</v>
      </c>
      <c r="M20">
        <f>SUBTOTAL(103,Tabela1[[#This Row],[Projeto]])</f>
        <v>1</v>
      </c>
    </row>
    <row r="21" spans="1:13" x14ac:dyDescent="0.25">
      <c r="A21" t="s">
        <v>66</v>
      </c>
      <c r="B21" t="s">
        <v>21</v>
      </c>
      <c r="C21" s="1">
        <v>46324</v>
      </c>
      <c r="D21" t="s">
        <v>53</v>
      </c>
      <c r="E21" t="s">
        <v>14</v>
      </c>
      <c r="G21" t="s">
        <v>67</v>
      </c>
      <c r="H21" t="s">
        <v>24</v>
      </c>
      <c r="I21" s="2">
        <v>46324.4375</v>
      </c>
      <c r="J21" s="2">
        <v>46324.604166666701</v>
      </c>
      <c r="K21" t="s">
        <v>25</v>
      </c>
      <c r="L21" s="3">
        <f>(Tabela1[[#This Row],[Horario Fim]]-Tabela1[[#This Row],[Horario Inicio]])*24</f>
        <v>4.0000000008149073</v>
      </c>
      <c r="M21">
        <f>SUBTOTAL(103,Tabela1[[#This Row],[Projeto]])</f>
        <v>1</v>
      </c>
    </row>
    <row r="22" spans="1:13" x14ac:dyDescent="0.25">
      <c r="A22" t="s">
        <v>55</v>
      </c>
      <c r="B22" t="s">
        <v>21</v>
      </c>
      <c r="C22" s="1">
        <v>46324</v>
      </c>
      <c r="D22" t="s">
        <v>53</v>
      </c>
      <c r="E22" t="s">
        <v>14</v>
      </c>
      <c r="G22" t="s">
        <v>67</v>
      </c>
      <c r="H22" t="s">
        <v>24</v>
      </c>
      <c r="I22" s="2">
        <v>46324.4375</v>
      </c>
      <c r="J22" s="2">
        <v>46324.604166666701</v>
      </c>
      <c r="K22" t="s">
        <v>25</v>
      </c>
      <c r="L22" s="3">
        <f>(Tabela1[[#This Row],[Horario Fim]]-Tabela1[[#This Row],[Horario Inicio]])*24</f>
        <v>4.0000000008149073</v>
      </c>
      <c r="M22">
        <f>SUBTOTAL(103,Tabela1[[#This Row],[Projeto]])</f>
        <v>1</v>
      </c>
    </row>
    <row r="23" spans="1:13" x14ac:dyDescent="0.25">
      <c r="A23" t="s">
        <v>68</v>
      </c>
      <c r="B23" t="s">
        <v>21</v>
      </c>
      <c r="C23" s="1">
        <v>46326</v>
      </c>
      <c r="D23" t="s">
        <v>13</v>
      </c>
      <c r="E23" t="s">
        <v>14</v>
      </c>
      <c r="F23" t="s">
        <v>37</v>
      </c>
      <c r="G23" t="s">
        <v>69</v>
      </c>
      <c r="H23" t="s">
        <v>24</v>
      </c>
      <c r="I23" s="2">
        <v>46326.416666666701</v>
      </c>
      <c r="J23" s="2">
        <v>46326.583333333299</v>
      </c>
      <c r="K23" t="s">
        <v>70</v>
      </c>
      <c r="L23" s="3">
        <f>(Tabela1[[#This Row],[Horario Fim]]-Tabela1[[#This Row],[Horario Inicio]])*24</f>
        <v>3.9999999983701855</v>
      </c>
      <c r="M23">
        <f>SUBTOTAL(103,Tabela1[[#This Row],[Projeto]])</f>
        <v>1</v>
      </c>
    </row>
    <row r="24" spans="1:13" x14ac:dyDescent="0.25">
      <c r="A24" t="s">
        <v>71</v>
      </c>
      <c r="B24" t="s">
        <v>12</v>
      </c>
      <c r="C24" s="1">
        <v>46329</v>
      </c>
      <c r="D24" t="s">
        <v>45</v>
      </c>
      <c r="E24" t="s">
        <v>14</v>
      </c>
      <c r="G24" t="s">
        <v>72</v>
      </c>
      <c r="H24" t="s">
        <v>24</v>
      </c>
      <c r="I24" s="2">
        <v>46329.416666666701</v>
      </c>
      <c r="J24" s="2">
        <v>46329.666666666701</v>
      </c>
      <c r="K24" t="s">
        <v>18</v>
      </c>
      <c r="L24" s="3">
        <f>(Tabela1[[#This Row],[Horario Fim]]-Tabela1[[#This Row],[Horario Inicio]])*24</f>
        <v>6</v>
      </c>
      <c r="M24">
        <f>SUBTOTAL(103,Tabela1[[#This Row],[Projeto]])</f>
        <v>1</v>
      </c>
    </row>
    <row r="25" spans="1:13" x14ac:dyDescent="0.25">
      <c r="A25" t="s">
        <v>73</v>
      </c>
      <c r="B25" t="s">
        <v>21</v>
      </c>
      <c r="C25" s="1">
        <v>46326</v>
      </c>
      <c r="D25" t="s">
        <v>13</v>
      </c>
      <c r="E25" t="s">
        <v>14</v>
      </c>
      <c r="F25" t="s">
        <v>37</v>
      </c>
      <c r="G25" t="s">
        <v>74</v>
      </c>
      <c r="H25" t="s">
        <v>24</v>
      </c>
      <c r="I25" s="2">
        <v>46326.416666666701</v>
      </c>
      <c r="J25" s="2">
        <v>46326.583333333299</v>
      </c>
      <c r="K25" t="s">
        <v>25</v>
      </c>
      <c r="L25" s="3">
        <f>(Tabela1[[#This Row],[Horario Fim]]-Tabela1[[#This Row],[Horario Inicio]])*24</f>
        <v>3.9999999983701855</v>
      </c>
      <c r="M25">
        <f>SUBTOTAL(103,Tabela1[[#This Row],[Projeto]])</f>
        <v>1</v>
      </c>
    </row>
    <row r="26" spans="1:13" x14ac:dyDescent="0.25">
      <c r="A26" t="s">
        <v>75</v>
      </c>
      <c r="B26" t="s">
        <v>21</v>
      </c>
      <c r="C26" s="1">
        <v>46326</v>
      </c>
      <c r="D26" t="s">
        <v>13</v>
      </c>
      <c r="E26" t="s">
        <v>14</v>
      </c>
      <c r="F26" t="s">
        <v>37</v>
      </c>
      <c r="G26" t="s">
        <v>74</v>
      </c>
      <c r="H26" t="s">
        <v>24</v>
      </c>
      <c r="I26" s="2">
        <v>46326.416666666701</v>
      </c>
      <c r="J26" s="2">
        <v>46326.583333333299</v>
      </c>
      <c r="K26" t="s">
        <v>25</v>
      </c>
      <c r="L26" s="3">
        <f>(Tabela1[[#This Row],[Horario Fim]]-Tabela1[[#This Row],[Horario Inicio]])*24</f>
        <v>3.9999999983701855</v>
      </c>
      <c r="M26">
        <f>SUBTOTAL(103,Tabela1[[#This Row],[Projeto]])</f>
        <v>1</v>
      </c>
    </row>
    <row r="27" spans="1:13" x14ac:dyDescent="0.25">
      <c r="A27" t="s">
        <v>66</v>
      </c>
      <c r="B27" t="s">
        <v>21</v>
      </c>
      <c r="C27" s="1">
        <v>46328</v>
      </c>
      <c r="D27" t="s">
        <v>13</v>
      </c>
      <c r="E27" t="s">
        <v>14</v>
      </c>
      <c r="F27" t="s">
        <v>28</v>
      </c>
      <c r="G27" t="s">
        <v>76</v>
      </c>
      <c r="H27" t="s">
        <v>24</v>
      </c>
      <c r="I27" s="2">
        <v>46328.4375</v>
      </c>
      <c r="J27" s="2">
        <v>46328.604166666701</v>
      </c>
      <c r="K27" t="s">
        <v>25</v>
      </c>
      <c r="L27" s="3">
        <f>(Tabela1[[#This Row],[Horario Fim]]-Tabela1[[#This Row],[Horario Inicio]])*24</f>
        <v>4.0000000008149073</v>
      </c>
      <c r="M27">
        <f>SUBTOTAL(103,Tabela1[[#This Row],[Projeto]])</f>
        <v>1</v>
      </c>
    </row>
    <row r="28" spans="1:13" x14ac:dyDescent="0.25">
      <c r="A28" t="s">
        <v>77</v>
      </c>
      <c r="B28" t="s">
        <v>21</v>
      </c>
      <c r="C28" s="1">
        <v>46329</v>
      </c>
      <c r="D28" t="s">
        <v>45</v>
      </c>
      <c r="E28" t="s">
        <v>14</v>
      </c>
      <c r="G28" t="s">
        <v>78</v>
      </c>
      <c r="H28" t="s">
        <v>24</v>
      </c>
      <c r="I28" s="2">
        <v>46329.4375</v>
      </c>
      <c r="J28" s="2">
        <v>46329.604166666701</v>
      </c>
      <c r="K28" t="s">
        <v>25</v>
      </c>
      <c r="L28" s="3">
        <f>(Tabela1[[#This Row],[Horario Fim]]-Tabela1[[#This Row],[Horario Inicio]])*24</f>
        <v>4.0000000008149073</v>
      </c>
      <c r="M28">
        <f>SUBTOTAL(103,Tabela1[[#This Row],[Projeto]])</f>
        <v>1</v>
      </c>
    </row>
    <row r="29" spans="1:13" x14ac:dyDescent="0.25">
      <c r="A29" t="s">
        <v>20</v>
      </c>
      <c r="B29" t="s">
        <v>21</v>
      </c>
      <c r="C29" s="1">
        <v>46329</v>
      </c>
      <c r="D29" t="s">
        <v>45</v>
      </c>
      <c r="E29" t="s">
        <v>14</v>
      </c>
      <c r="G29" t="s">
        <v>78</v>
      </c>
      <c r="H29" t="s">
        <v>24</v>
      </c>
      <c r="I29" s="2">
        <v>46329.4375</v>
      </c>
      <c r="J29" s="2">
        <v>46329.604166666701</v>
      </c>
      <c r="K29" t="s">
        <v>25</v>
      </c>
      <c r="L29" s="3">
        <f>(Tabela1[[#This Row],[Horario Fim]]-Tabela1[[#This Row],[Horario Inicio]])*24</f>
        <v>4.0000000008149073</v>
      </c>
      <c r="M29">
        <f>SUBTOTAL(103,Tabela1[[#This Row],[Projeto]])</f>
        <v>1</v>
      </c>
    </row>
    <row r="30" spans="1:13" x14ac:dyDescent="0.25">
      <c r="A30" t="s">
        <v>79</v>
      </c>
      <c r="B30" t="s">
        <v>21</v>
      </c>
      <c r="C30" s="1">
        <v>46331</v>
      </c>
      <c r="D30" t="s">
        <v>45</v>
      </c>
      <c r="E30" t="s">
        <v>14</v>
      </c>
      <c r="G30" t="s">
        <v>80</v>
      </c>
      <c r="H30" t="s">
        <v>24</v>
      </c>
      <c r="I30" s="2">
        <v>46331.416666666701</v>
      </c>
      <c r="J30" s="2">
        <v>46331.583333333299</v>
      </c>
      <c r="K30" t="s">
        <v>25</v>
      </c>
      <c r="L30" s="3">
        <f>(Tabela1[[#This Row],[Horario Fim]]-Tabela1[[#This Row],[Horario Inicio]])*24</f>
        <v>3.9999999983701855</v>
      </c>
      <c r="M30">
        <f>SUBTOTAL(103,Tabela1[[#This Row],[Projeto]])</f>
        <v>1</v>
      </c>
    </row>
    <row r="31" spans="1:13" x14ac:dyDescent="0.25">
      <c r="A31" t="s">
        <v>81</v>
      </c>
      <c r="B31" t="s">
        <v>21</v>
      </c>
      <c r="C31" s="1">
        <v>46332</v>
      </c>
      <c r="D31" t="s">
        <v>45</v>
      </c>
      <c r="E31" t="s">
        <v>14</v>
      </c>
      <c r="G31" t="s">
        <v>82</v>
      </c>
      <c r="H31" t="s">
        <v>24</v>
      </c>
      <c r="I31" s="2">
        <v>46332.416666666701</v>
      </c>
      <c r="J31" s="2">
        <v>46332.583333333299</v>
      </c>
      <c r="K31" t="s">
        <v>25</v>
      </c>
      <c r="L31" s="3">
        <f>(Tabela1[[#This Row],[Horario Fim]]-Tabela1[[#This Row],[Horario Inicio]])*24</f>
        <v>3.9999999983701855</v>
      </c>
      <c r="M31">
        <f>SUBTOTAL(103,Tabela1[[#This Row],[Projeto]])</f>
        <v>1</v>
      </c>
    </row>
    <row r="32" spans="1:13" x14ac:dyDescent="0.25">
      <c r="A32" t="s">
        <v>83</v>
      </c>
      <c r="B32" t="s">
        <v>21</v>
      </c>
      <c r="C32" s="1">
        <v>46332</v>
      </c>
      <c r="D32" t="s">
        <v>45</v>
      </c>
      <c r="E32" t="s">
        <v>14</v>
      </c>
      <c r="G32" t="s">
        <v>82</v>
      </c>
      <c r="H32" t="s">
        <v>24</v>
      </c>
      <c r="I32" s="2">
        <v>46332.416666666701</v>
      </c>
      <c r="J32" s="2">
        <v>46332.583333333299</v>
      </c>
      <c r="K32" t="s">
        <v>25</v>
      </c>
      <c r="L32" s="3">
        <f>(Tabela1[[#This Row],[Horario Fim]]-Tabela1[[#This Row],[Horario Inicio]])*24</f>
        <v>3.9999999983701855</v>
      </c>
      <c r="M32">
        <f>SUBTOTAL(103,Tabela1[[#This Row],[Projeto]])</f>
        <v>1</v>
      </c>
    </row>
    <row r="33" spans="1:13" x14ac:dyDescent="0.25">
      <c r="A33" t="s">
        <v>84</v>
      </c>
      <c r="B33" t="s">
        <v>21</v>
      </c>
      <c r="C33" s="1">
        <v>46332</v>
      </c>
      <c r="D33" t="s">
        <v>45</v>
      </c>
      <c r="E33" t="s">
        <v>14</v>
      </c>
      <c r="G33" t="s">
        <v>85</v>
      </c>
      <c r="H33" t="s">
        <v>24</v>
      </c>
      <c r="I33" s="2">
        <v>46332.4375</v>
      </c>
      <c r="J33" s="2">
        <v>46332.604166666701</v>
      </c>
      <c r="K33" t="s">
        <v>18</v>
      </c>
      <c r="L33" s="3">
        <f>(Tabela1[[#This Row],[Horario Fim]]-Tabela1[[#This Row],[Horario Inicio]])*24</f>
        <v>4.0000000008149073</v>
      </c>
      <c r="M33">
        <f>SUBTOTAL(103,Tabela1[[#This Row],[Projeto]])</f>
        <v>1</v>
      </c>
    </row>
    <row r="34" spans="1:13" x14ac:dyDescent="0.25">
      <c r="A34" t="s">
        <v>86</v>
      </c>
      <c r="B34" t="s">
        <v>21</v>
      </c>
      <c r="C34" s="1">
        <v>46335</v>
      </c>
      <c r="D34" t="s">
        <v>45</v>
      </c>
      <c r="E34" t="s">
        <v>14</v>
      </c>
      <c r="G34" t="s">
        <v>65</v>
      </c>
      <c r="H34" t="s">
        <v>24</v>
      </c>
      <c r="I34" s="2">
        <v>46335.416666666701</v>
      </c>
      <c r="J34" s="2">
        <v>46335.583333333299</v>
      </c>
      <c r="K34" t="s">
        <v>25</v>
      </c>
      <c r="L34" s="3">
        <f>(Tabela1[[#This Row],[Horario Fim]]-Tabela1[[#This Row],[Horario Inicio]])*24</f>
        <v>3.9999999983701855</v>
      </c>
      <c r="M34">
        <f>SUBTOTAL(103,Tabela1[[#This Row],[Projeto]])</f>
        <v>1</v>
      </c>
    </row>
    <row r="35" spans="1:13" x14ac:dyDescent="0.25">
      <c r="A35" t="s">
        <v>87</v>
      </c>
      <c r="B35" t="s">
        <v>27</v>
      </c>
      <c r="C35" s="1">
        <v>46323</v>
      </c>
      <c r="D35" t="s">
        <v>13</v>
      </c>
      <c r="E35" t="s">
        <v>14</v>
      </c>
      <c r="F35" t="s">
        <v>28</v>
      </c>
      <c r="G35" t="s">
        <v>88</v>
      </c>
      <c r="H35" t="s">
        <v>24</v>
      </c>
      <c r="I35" s="2">
        <v>46323.416666666701</v>
      </c>
      <c r="J35" s="2">
        <v>46323.583333333299</v>
      </c>
      <c r="K35" t="s">
        <v>47</v>
      </c>
      <c r="L35" s="3">
        <f>(Tabela1[[#This Row],[Horario Fim]]-Tabela1[[#This Row],[Horario Inicio]])*24</f>
        <v>3.9999999983701855</v>
      </c>
      <c r="M35">
        <f>SUBTOTAL(103,Tabela1[[#This Row],[Projeto]])</f>
        <v>1</v>
      </c>
    </row>
    <row r="36" spans="1:13" x14ac:dyDescent="0.25">
      <c r="A36" t="s">
        <v>89</v>
      </c>
      <c r="B36" t="s">
        <v>27</v>
      </c>
      <c r="C36" s="1">
        <v>46323</v>
      </c>
      <c r="D36" t="s">
        <v>13</v>
      </c>
      <c r="E36" t="s">
        <v>14</v>
      </c>
      <c r="F36" t="s">
        <v>28</v>
      </c>
      <c r="G36" t="s">
        <v>88</v>
      </c>
      <c r="H36" t="s">
        <v>24</v>
      </c>
      <c r="I36" s="2">
        <v>46323.416666666701</v>
      </c>
      <c r="J36" s="2">
        <v>46323.583333333299</v>
      </c>
      <c r="K36" t="s">
        <v>47</v>
      </c>
      <c r="L36" s="3">
        <f>(Tabela1[[#This Row],[Horario Fim]]-Tabela1[[#This Row],[Horario Inicio]])*24</f>
        <v>3.9999999983701855</v>
      </c>
      <c r="M36">
        <f>SUBTOTAL(103,Tabela1[[#This Row],[Projeto]])</f>
        <v>1</v>
      </c>
    </row>
    <row r="37" spans="1:13" x14ac:dyDescent="0.25">
      <c r="A37" t="s">
        <v>90</v>
      </c>
      <c r="B37" t="s">
        <v>27</v>
      </c>
      <c r="C37" s="1">
        <v>46323</v>
      </c>
      <c r="D37" t="s">
        <v>13</v>
      </c>
      <c r="E37" t="s">
        <v>14</v>
      </c>
      <c r="F37" t="s">
        <v>28</v>
      </c>
      <c r="G37" t="s">
        <v>88</v>
      </c>
      <c r="H37" t="s">
        <v>24</v>
      </c>
      <c r="I37" s="2">
        <v>46323.416666666701</v>
      </c>
      <c r="J37" s="2">
        <v>46323.604166666701</v>
      </c>
      <c r="K37" t="s">
        <v>47</v>
      </c>
      <c r="L37" s="3">
        <f>(Tabela1[[#This Row],[Horario Fim]]-Tabela1[[#This Row],[Horario Inicio]])*24</f>
        <v>4.5</v>
      </c>
      <c r="M37">
        <f>SUBTOTAL(103,Tabela1[[#This Row],[Projeto]])</f>
        <v>1</v>
      </c>
    </row>
    <row r="38" spans="1:13" x14ac:dyDescent="0.25">
      <c r="A38" t="s">
        <v>91</v>
      </c>
      <c r="B38" t="s">
        <v>33</v>
      </c>
      <c r="C38" s="1">
        <v>46332</v>
      </c>
      <c r="D38" t="s">
        <v>45</v>
      </c>
      <c r="E38" t="s">
        <v>14</v>
      </c>
      <c r="G38" t="s">
        <v>92</v>
      </c>
      <c r="H38" t="s">
        <v>24</v>
      </c>
      <c r="I38" s="2">
        <v>46332.423611111102</v>
      </c>
      <c r="J38" s="2">
        <v>46332.590277777803</v>
      </c>
      <c r="K38" t="s">
        <v>18</v>
      </c>
      <c r="L38" s="3">
        <f>(Tabela1[[#This Row],[Horario Fim]]-Tabela1[[#This Row],[Horario Inicio]])*24</f>
        <v>4.0000000008149073</v>
      </c>
      <c r="M38">
        <f>SUBTOTAL(103,Tabela1[[#This Row],[Projeto]])</f>
        <v>1</v>
      </c>
    </row>
    <row r="39" spans="1:13" x14ac:dyDescent="0.25">
      <c r="A39" t="s">
        <v>93</v>
      </c>
      <c r="B39" t="s">
        <v>33</v>
      </c>
      <c r="C39" s="1">
        <v>46331</v>
      </c>
      <c r="D39" t="s">
        <v>45</v>
      </c>
      <c r="E39" t="s">
        <v>14</v>
      </c>
      <c r="G39" t="s">
        <v>94</v>
      </c>
      <c r="H39" t="s">
        <v>24</v>
      </c>
      <c r="I39" s="2">
        <v>46331.416666666701</v>
      </c>
      <c r="J39" s="2">
        <v>46331.583333333299</v>
      </c>
      <c r="K39" t="s">
        <v>47</v>
      </c>
      <c r="L39" s="3">
        <f>(Tabela1[[#This Row],[Horario Fim]]-Tabela1[[#This Row],[Horario Inicio]])*24</f>
        <v>3.9999999983701855</v>
      </c>
      <c r="M39">
        <f>SUBTOTAL(103,Tabela1[[#This Row],[Projeto]])</f>
        <v>1</v>
      </c>
    </row>
    <row r="40" spans="1:13" x14ac:dyDescent="0.25">
      <c r="A40" t="s">
        <v>95</v>
      </c>
      <c r="B40" t="s">
        <v>21</v>
      </c>
      <c r="C40" s="1">
        <v>46335</v>
      </c>
      <c r="D40" t="s">
        <v>45</v>
      </c>
      <c r="E40" t="s">
        <v>14</v>
      </c>
      <c r="G40" t="s">
        <v>65</v>
      </c>
      <c r="H40" t="s">
        <v>24</v>
      </c>
      <c r="I40" s="2">
        <v>46335.416666666701</v>
      </c>
      <c r="J40" s="2">
        <v>46335.583333333299</v>
      </c>
      <c r="K40" t="s">
        <v>25</v>
      </c>
      <c r="L40" s="3">
        <f>(Tabela1[[#This Row],[Horario Fim]]-Tabela1[[#This Row],[Horario Inicio]])*24</f>
        <v>3.9999999983701855</v>
      </c>
      <c r="M40">
        <f>SUBTOTAL(103,Tabela1[[#This Row],[Projeto]])</f>
        <v>1</v>
      </c>
    </row>
    <row r="41" spans="1:13" x14ac:dyDescent="0.25">
      <c r="A41" t="s">
        <v>96</v>
      </c>
      <c r="B41" t="s">
        <v>97</v>
      </c>
      <c r="C41" s="1">
        <v>46337</v>
      </c>
      <c r="D41" t="s">
        <v>45</v>
      </c>
      <c r="E41" t="s">
        <v>14</v>
      </c>
      <c r="G41" t="s">
        <v>98</v>
      </c>
      <c r="H41" t="s">
        <v>24</v>
      </c>
      <c r="I41" s="2">
        <v>46337.416666666701</v>
      </c>
      <c r="J41" s="2">
        <v>46337.583333333299</v>
      </c>
      <c r="K41" t="s">
        <v>18</v>
      </c>
      <c r="L41" s="3">
        <f>(Tabela1[[#This Row],[Horario Fim]]-Tabela1[[#This Row],[Horario Inicio]])*24</f>
        <v>3.9999999983701855</v>
      </c>
      <c r="M41">
        <f>SUBTOTAL(103,Tabela1[[#This Row],[Projeto]])</f>
        <v>1</v>
      </c>
    </row>
    <row r="42" spans="1:13" x14ac:dyDescent="0.25">
      <c r="A42" t="s">
        <v>99</v>
      </c>
      <c r="B42" t="s">
        <v>12</v>
      </c>
      <c r="C42" s="1">
        <v>46337</v>
      </c>
      <c r="D42" t="s">
        <v>45</v>
      </c>
      <c r="E42" t="s">
        <v>14</v>
      </c>
      <c r="G42" t="s">
        <v>100</v>
      </c>
      <c r="H42" t="s">
        <v>24</v>
      </c>
      <c r="I42" s="2">
        <v>46337.020833333299</v>
      </c>
      <c r="J42" s="2">
        <v>46337.1875</v>
      </c>
      <c r="K42" t="s">
        <v>18</v>
      </c>
      <c r="L42" s="3">
        <f>(Tabela1[[#This Row],[Horario Fim]]-Tabela1[[#This Row],[Horario Inicio]])*24</f>
        <v>4.0000000008149073</v>
      </c>
      <c r="M42">
        <f>SUBTOTAL(103,Tabela1[[#This Row],[Projeto]])</f>
        <v>1</v>
      </c>
    </row>
    <row r="43" spans="1:13" x14ac:dyDescent="0.25">
      <c r="A43" t="s">
        <v>101</v>
      </c>
      <c r="B43" t="s">
        <v>33</v>
      </c>
      <c r="C43" s="1">
        <v>46334</v>
      </c>
      <c r="D43" t="s">
        <v>45</v>
      </c>
      <c r="E43" t="s">
        <v>14</v>
      </c>
      <c r="G43" t="s">
        <v>102</v>
      </c>
      <c r="H43" t="s">
        <v>24</v>
      </c>
      <c r="I43" s="2">
        <v>46334.416666666701</v>
      </c>
      <c r="J43" s="2">
        <v>46334.583333333299</v>
      </c>
      <c r="K43" t="s">
        <v>47</v>
      </c>
      <c r="L43" s="3">
        <f>(Tabela1[[#This Row],[Horario Fim]]-Tabela1[[#This Row],[Horario Inicio]])*24</f>
        <v>3.9999999983701855</v>
      </c>
      <c r="M43">
        <f>SUBTOTAL(103,Tabela1[[#This Row],[Projeto]])</f>
        <v>1</v>
      </c>
    </row>
    <row r="44" spans="1:13" x14ac:dyDescent="0.25">
      <c r="A44" t="s">
        <v>103</v>
      </c>
      <c r="B44" t="s">
        <v>21</v>
      </c>
      <c r="C44" s="1">
        <v>46336</v>
      </c>
      <c r="D44" t="s">
        <v>45</v>
      </c>
      <c r="E44" t="s">
        <v>14</v>
      </c>
      <c r="G44" t="s">
        <v>104</v>
      </c>
      <c r="H44" t="s">
        <v>24</v>
      </c>
      <c r="I44" s="2">
        <v>46336.416666666701</v>
      </c>
      <c r="J44" s="2">
        <v>46336.583333333299</v>
      </c>
      <c r="K44" t="s">
        <v>25</v>
      </c>
      <c r="L44" s="3">
        <f>(Tabela1[[#This Row],[Horario Fim]]-Tabela1[[#This Row],[Horario Inicio]])*24</f>
        <v>3.9999999983701855</v>
      </c>
      <c r="M44">
        <f>SUBTOTAL(103,Tabela1[[#This Row],[Projeto]])</f>
        <v>1</v>
      </c>
    </row>
    <row r="45" spans="1:13" x14ac:dyDescent="0.25">
      <c r="A45" t="s">
        <v>105</v>
      </c>
      <c r="B45" t="s">
        <v>21</v>
      </c>
      <c r="C45" s="1">
        <v>46336</v>
      </c>
      <c r="D45" t="s">
        <v>45</v>
      </c>
      <c r="E45" t="s">
        <v>14</v>
      </c>
      <c r="G45" t="s">
        <v>104</v>
      </c>
      <c r="H45" t="s">
        <v>24</v>
      </c>
      <c r="I45" s="2">
        <v>46336.416666666701</v>
      </c>
      <c r="J45" s="2">
        <v>46336.583333333299</v>
      </c>
      <c r="K45" t="s">
        <v>25</v>
      </c>
      <c r="L45" s="3">
        <f>(Tabela1[[#This Row],[Horario Fim]]-Tabela1[[#This Row],[Horario Inicio]])*24</f>
        <v>3.9999999983701855</v>
      </c>
      <c r="M45">
        <f>SUBTOTAL(103,Tabela1[[#This Row],[Projeto]])</f>
        <v>1</v>
      </c>
    </row>
    <row r="46" spans="1:13" x14ac:dyDescent="0.25">
      <c r="A46" t="s">
        <v>106</v>
      </c>
      <c r="B46" t="s">
        <v>21</v>
      </c>
      <c r="C46" s="1">
        <v>46337</v>
      </c>
      <c r="D46" t="s">
        <v>53</v>
      </c>
      <c r="E46" t="s">
        <v>14</v>
      </c>
      <c r="G46" t="s">
        <v>107</v>
      </c>
      <c r="H46" t="s">
        <v>24</v>
      </c>
      <c r="I46" s="2">
        <v>46337.416666666701</v>
      </c>
      <c r="J46" s="2">
        <v>46337.583333333299</v>
      </c>
      <c r="K46" t="s">
        <v>25</v>
      </c>
      <c r="L46" s="3">
        <f>(Tabela1[[#This Row],[Horario Fim]]-Tabela1[[#This Row],[Horario Inicio]])*24</f>
        <v>3.9999999983701855</v>
      </c>
      <c r="M46">
        <f>SUBTOTAL(103,Tabela1[[#This Row],[Projeto]])</f>
        <v>1</v>
      </c>
    </row>
    <row r="47" spans="1:13" x14ac:dyDescent="0.25">
      <c r="A47" t="s">
        <v>108</v>
      </c>
      <c r="B47" t="s">
        <v>21</v>
      </c>
      <c r="C47" s="1">
        <v>46337</v>
      </c>
      <c r="D47" t="s">
        <v>53</v>
      </c>
      <c r="E47" t="s">
        <v>14</v>
      </c>
      <c r="G47" t="s">
        <v>107</v>
      </c>
      <c r="H47" t="s">
        <v>24</v>
      </c>
      <c r="I47" s="2">
        <v>46337.416666666701</v>
      </c>
      <c r="J47" s="2">
        <v>46337.583333333299</v>
      </c>
      <c r="K47" t="s">
        <v>25</v>
      </c>
      <c r="L47" s="3">
        <f>(Tabela1[[#This Row],[Horario Fim]]-Tabela1[[#This Row],[Horario Inicio]])*24</f>
        <v>3.9999999983701855</v>
      </c>
      <c r="M47">
        <f>SUBTOTAL(103,Tabela1[[#This Row],[Projeto]])</f>
        <v>1</v>
      </c>
    </row>
    <row r="48" spans="1:13" x14ac:dyDescent="0.25">
      <c r="A48" t="s">
        <v>109</v>
      </c>
      <c r="B48" t="s">
        <v>21</v>
      </c>
      <c r="C48" s="1">
        <v>46338</v>
      </c>
      <c r="D48" t="s">
        <v>53</v>
      </c>
      <c r="E48" t="s">
        <v>14</v>
      </c>
      <c r="G48" t="s">
        <v>110</v>
      </c>
      <c r="H48" t="s">
        <v>24</v>
      </c>
      <c r="I48" s="2">
        <v>46338.4375</v>
      </c>
      <c r="J48" s="2">
        <v>46338.604166666701</v>
      </c>
      <c r="K48" t="s">
        <v>25</v>
      </c>
      <c r="L48" s="3">
        <f>(Tabela1[[#This Row],[Horario Fim]]-Tabela1[[#This Row],[Horario Inicio]])*24</f>
        <v>4.0000000008149073</v>
      </c>
      <c r="M48">
        <f>SUBTOTAL(103,Tabela1[[#This Row],[Projeto]])</f>
        <v>1</v>
      </c>
    </row>
    <row r="49" spans="1:13" x14ac:dyDescent="0.25">
      <c r="A49" t="s">
        <v>106</v>
      </c>
      <c r="B49" t="s">
        <v>21</v>
      </c>
      <c r="C49" s="1">
        <v>46338</v>
      </c>
      <c r="D49" t="s">
        <v>53</v>
      </c>
      <c r="E49" t="s">
        <v>14</v>
      </c>
      <c r="G49" t="s">
        <v>110</v>
      </c>
      <c r="H49" t="s">
        <v>24</v>
      </c>
      <c r="I49" s="2">
        <v>46338.4375</v>
      </c>
      <c r="J49" s="2">
        <v>46338.604166666701</v>
      </c>
      <c r="K49" t="s">
        <v>25</v>
      </c>
      <c r="L49" s="3">
        <f>(Tabela1[[#This Row],[Horario Fim]]-Tabela1[[#This Row],[Horario Inicio]])*24</f>
        <v>4.0000000008149073</v>
      </c>
      <c r="M49">
        <f>SUBTOTAL(103,Tabela1[[#This Row],[Projeto]])</f>
        <v>1</v>
      </c>
    </row>
    <row r="50" spans="1:13" x14ac:dyDescent="0.25">
      <c r="A50" t="s">
        <v>111</v>
      </c>
      <c r="B50" t="s">
        <v>21</v>
      </c>
      <c r="C50" s="1">
        <v>46339</v>
      </c>
      <c r="D50" t="s">
        <v>53</v>
      </c>
      <c r="E50" t="s">
        <v>14</v>
      </c>
      <c r="G50" t="s">
        <v>112</v>
      </c>
      <c r="H50" t="s">
        <v>24</v>
      </c>
      <c r="I50" s="2">
        <v>46339.4375</v>
      </c>
      <c r="J50" s="2">
        <v>46339.604166666701</v>
      </c>
      <c r="K50" t="s">
        <v>25</v>
      </c>
      <c r="L50" s="3">
        <f>(Tabela1[[#This Row],[Horario Fim]]-Tabela1[[#This Row],[Horario Inicio]])*24</f>
        <v>4.0000000008149073</v>
      </c>
      <c r="M50">
        <f>SUBTOTAL(103,Tabela1[[#This Row],[Projeto]])</f>
        <v>1</v>
      </c>
    </row>
    <row r="51" spans="1:13" x14ac:dyDescent="0.25">
      <c r="A51" t="s">
        <v>113</v>
      </c>
      <c r="B51" t="s">
        <v>21</v>
      </c>
      <c r="C51" s="1">
        <v>46341</v>
      </c>
      <c r="D51" t="s">
        <v>45</v>
      </c>
      <c r="E51" t="s">
        <v>14</v>
      </c>
      <c r="G51" t="s">
        <v>114</v>
      </c>
      <c r="H51" t="s">
        <v>24</v>
      </c>
      <c r="I51" s="2">
        <v>46341.416666666701</v>
      </c>
      <c r="J51" s="2">
        <v>46341.583333333299</v>
      </c>
      <c r="K51" t="s">
        <v>47</v>
      </c>
      <c r="L51" s="3">
        <f>(Tabela1[[#This Row],[Horario Fim]]-Tabela1[[#This Row],[Horario Inicio]])*24</f>
        <v>3.9999999983701855</v>
      </c>
      <c r="M51">
        <f>SUBTOTAL(103,Tabela1[[#This Row],[Projeto]])</f>
        <v>1</v>
      </c>
    </row>
    <row r="52" spans="1:13" x14ac:dyDescent="0.25">
      <c r="A52" t="s">
        <v>115</v>
      </c>
      <c r="B52" t="s">
        <v>21</v>
      </c>
      <c r="C52" s="1">
        <v>46341</v>
      </c>
      <c r="D52" t="s">
        <v>45</v>
      </c>
      <c r="E52" t="s">
        <v>14</v>
      </c>
      <c r="G52" t="s">
        <v>114</v>
      </c>
      <c r="H52" t="s">
        <v>24</v>
      </c>
      <c r="I52" s="2">
        <v>46341.416666666701</v>
      </c>
      <c r="J52" s="2">
        <v>46341.583333333299</v>
      </c>
      <c r="K52" t="s">
        <v>47</v>
      </c>
      <c r="L52" s="3">
        <f>(Tabela1[[#This Row],[Horario Fim]]-Tabela1[[#This Row],[Horario Inicio]])*24</f>
        <v>3.9999999983701855</v>
      </c>
      <c r="M52">
        <f>SUBTOTAL(103,Tabela1[[#This Row],[Projeto]])</f>
        <v>1</v>
      </c>
    </row>
    <row r="53" spans="1:13" x14ac:dyDescent="0.25">
      <c r="A53" t="s">
        <v>116</v>
      </c>
      <c r="B53" t="s">
        <v>21</v>
      </c>
      <c r="C53" s="1">
        <v>46345</v>
      </c>
      <c r="D53" t="s">
        <v>53</v>
      </c>
      <c r="E53" t="s">
        <v>14</v>
      </c>
      <c r="G53" t="s">
        <v>117</v>
      </c>
      <c r="H53" t="s">
        <v>17</v>
      </c>
      <c r="I53" s="2">
        <v>46345.416666666701</v>
      </c>
      <c r="J53" s="2">
        <v>46345.583333333299</v>
      </c>
      <c r="K53" t="s">
        <v>47</v>
      </c>
      <c r="L53" s="3">
        <f>(Tabela1[[#This Row],[Horario Fim]]-Tabela1[[#This Row],[Horario Inicio]])*24</f>
        <v>3.9999999983701855</v>
      </c>
      <c r="M53">
        <f>SUBTOTAL(103,Tabela1[[#This Row],[Projeto]])</f>
        <v>1</v>
      </c>
    </row>
    <row r="54" spans="1:13" x14ac:dyDescent="0.25">
      <c r="A54" t="s">
        <v>118</v>
      </c>
      <c r="B54" t="s">
        <v>44</v>
      </c>
      <c r="C54" s="1">
        <v>46342</v>
      </c>
      <c r="D54" t="s">
        <v>45</v>
      </c>
      <c r="E54" t="s">
        <v>14</v>
      </c>
      <c r="G54" t="s">
        <v>119</v>
      </c>
      <c r="H54" t="s">
        <v>24</v>
      </c>
      <c r="I54" s="2">
        <v>46342.423611111102</v>
      </c>
      <c r="J54" s="2">
        <v>46342.590277777803</v>
      </c>
      <c r="K54" t="s">
        <v>18</v>
      </c>
      <c r="L54" s="3">
        <f>(Tabela1[[#This Row],[Horario Fim]]-Tabela1[[#This Row],[Horario Inicio]])*24</f>
        <v>4.0000000008149073</v>
      </c>
      <c r="M54">
        <f>SUBTOTAL(103,Tabela1[[#This Row],[Projeto]])</f>
        <v>1</v>
      </c>
    </row>
    <row r="55" spans="1:13" x14ac:dyDescent="0.25">
      <c r="A55" t="s">
        <v>120</v>
      </c>
      <c r="B55" t="s">
        <v>21</v>
      </c>
      <c r="C55" s="1">
        <v>46347</v>
      </c>
      <c r="D55" t="s">
        <v>53</v>
      </c>
      <c r="E55" t="s">
        <v>14</v>
      </c>
      <c r="G55" t="s">
        <v>121</v>
      </c>
      <c r="H55" t="s">
        <v>17</v>
      </c>
      <c r="I55" s="2">
        <v>46347.416666666701</v>
      </c>
      <c r="J55" s="2">
        <v>46347.583333333299</v>
      </c>
      <c r="K55" t="s">
        <v>47</v>
      </c>
      <c r="L55" s="3">
        <f>(Tabela1[[#This Row],[Horario Fim]]-Tabela1[[#This Row],[Horario Inicio]])*24</f>
        <v>3.9999999983701855</v>
      </c>
      <c r="M55">
        <f>SUBTOTAL(103,Tabela1[[#This Row],[Projeto]])</f>
        <v>1</v>
      </c>
    </row>
    <row r="56" spans="1:13" x14ac:dyDescent="0.25">
      <c r="A56" t="s">
        <v>122</v>
      </c>
      <c r="B56" t="s">
        <v>21</v>
      </c>
      <c r="C56" s="1">
        <v>46348</v>
      </c>
      <c r="D56" t="s">
        <v>53</v>
      </c>
      <c r="E56" t="s">
        <v>14</v>
      </c>
      <c r="G56" t="s">
        <v>123</v>
      </c>
      <c r="H56" t="s">
        <v>17</v>
      </c>
      <c r="I56" s="2">
        <v>46348.416666666701</v>
      </c>
      <c r="J56" s="2">
        <v>46348.583333333299</v>
      </c>
      <c r="K56" t="s">
        <v>47</v>
      </c>
      <c r="L56" s="3">
        <f>(Tabela1[[#This Row],[Horario Fim]]-Tabela1[[#This Row],[Horario Inicio]])*24</f>
        <v>3.9999999983701855</v>
      </c>
      <c r="M56">
        <f>SUBTOTAL(103,Tabela1[[#This Row],[Projeto]])</f>
        <v>1</v>
      </c>
    </row>
    <row r="57" spans="1:13" x14ac:dyDescent="0.25">
      <c r="A57" t="s">
        <v>124</v>
      </c>
      <c r="B57" t="s">
        <v>27</v>
      </c>
      <c r="C57" s="1">
        <v>46340</v>
      </c>
      <c r="D57" t="s">
        <v>53</v>
      </c>
      <c r="E57" t="s">
        <v>14</v>
      </c>
      <c r="G57" t="s">
        <v>125</v>
      </c>
      <c r="H57" t="s">
        <v>24</v>
      </c>
      <c r="I57" s="2">
        <v>46340.416666666701</v>
      </c>
      <c r="J57" s="2">
        <v>46340.583333333299</v>
      </c>
      <c r="K57" t="s">
        <v>47</v>
      </c>
      <c r="L57" s="3">
        <f>(Tabela1[[#This Row],[Horario Fim]]-Tabela1[[#This Row],[Horario Inicio]])*24</f>
        <v>3.9999999983701855</v>
      </c>
      <c r="M57">
        <f>SUBTOTAL(103,Tabela1[[#This Row],[Projeto]])</f>
        <v>1</v>
      </c>
    </row>
    <row r="58" spans="1:13" x14ac:dyDescent="0.25">
      <c r="A58" t="s">
        <v>126</v>
      </c>
      <c r="B58" t="s">
        <v>27</v>
      </c>
      <c r="C58" s="1">
        <v>46340</v>
      </c>
      <c r="D58" t="s">
        <v>53</v>
      </c>
      <c r="E58" t="s">
        <v>14</v>
      </c>
      <c r="G58" t="s">
        <v>125</v>
      </c>
      <c r="H58" t="s">
        <v>24</v>
      </c>
      <c r="I58" s="2">
        <v>46340.416666666701</v>
      </c>
      <c r="J58" s="2">
        <v>46340.583333333299</v>
      </c>
      <c r="K58" t="s">
        <v>47</v>
      </c>
      <c r="L58" s="3">
        <f>(Tabela1[[#This Row],[Horario Fim]]-Tabela1[[#This Row],[Horario Inicio]])*24</f>
        <v>3.9999999983701855</v>
      </c>
      <c r="M58">
        <f>SUBTOTAL(103,Tabela1[[#This Row],[Projeto]])</f>
        <v>1</v>
      </c>
    </row>
    <row r="59" spans="1:13" x14ac:dyDescent="0.25">
      <c r="A59" t="s">
        <v>127</v>
      </c>
      <c r="B59" t="s">
        <v>27</v>
      </c>
      <c r="C59" s="1">
        <v>46340</v>
      </c>
      <c r="D59" t="s">
        <v>53</v>
      </c>
      <c r="E59" t="s">
        <v>14</v>
      </c>
      <c r="G59" t="s">
        <v>125</v>
      </c>
      <c r="H59" t="s">
        <v>24</v>
      </c>
      <c r="I59" s="2">
        <v>46340.416666666701</v>
      </c>
      <c r="J59" s="2">
        <v>46340.583333333299</v>
      </c>
      <c r="K59" t="s">
        <v>47</v>
      </c>
      <c r="L59" s="3">
        <f>(Tabela1[[#This Row],[Horario Fim]]-Tabela1[[#This Row],[Horario Inicio]])*24</f>
        <v>3.9999999983701855</v>
      </c>
      <c r="M59">
        <f>SUBTOTAL(103,Tabela1[[#This Row],[Projeto]])</f>
        <v>1</v>
      </c>
    </row>
    <row r="60" spans="1:13" x14ac:dyDescent="0.25">
      <c r="A60" t="s">
        <v>128</v>
      </c>
      <c r="B60" t="s">
        <v>27</v>
      </c>
      <c r="C60" s="1">
        <v>46340</v>
      </c>
      <c r="D60" t="s">
        <v>53</v>
      </c>
      <c r="E60" t="s">
        <v>14</v>
      </c>
      <c r="G60" t="s">
        <v>125</v>
      </c>
      <c r="H60" t="s">
        <v>24</v>
      </c>
      <c r="I60" s="2">
        <v>46340.416666666701</v>
      </c>
      <c r="J60" s="2">
        <v>46340.583333333299</v>
      </c>
      <c r="K60" t="s">
        <v>47</v>
      </c>
      <c r="L60" s="3">
        <f>(Tabela1[[#This Row],[Horario Fim]]-Tabela1[[#This Row],[Horario Inicio]])*24</f>
        <v>3.9999999983701855</v>
      </c>
      <c r="M60">
        <f>SUBTOTAL(103,Tabela1[[#This Row],[Projeto]])</f>
        <v>1</v>
      </c>
    </row>
    <row r="61" spans="1:13" x14ac:dyDescent="0.25">
      <c r="A61" t="s">
        <v>129</v>
      </c>
      <c r="B61" t="s">
        <v>27</v>
      </c>
      <c r="C61" s="1">
        <v>46340</v>
      </c>
      <c r="D61" t="s">
        <v>53</v>
      </c>
      <c r="E61" t="s">
        <v>14</v>
      </c>
      <c r="G61" t="s">
        <v>125</v>
      </c>
      <c r="H61" t="s">
        <v>24</v>
      </c>
      <c r="I61" s="2">
        <v>46340.416666666701</v>
      </c>
      <c r="J61" s="2">
        <v>46340.583333333299</v>
      </c>
      <c r="K61" t="s">
        <v>47</v>
      </c>
      <c r="L61" s="3">
        <f>(Tabela1[[#This Row],[Horario Fim]]-Tabela1[[#This Row],[Horario Inicio]])*24</f>
        <v>3.9999999983701855</v>
      </c>
      <c r="M61">
        <f>SUBTOTAL(103,Tabela1[[#This Row],[Projeto]])</f>
        <v>1</v>
      </c>
    </row>
    <row r="62" spans="1:13" x14ac:dyDescent="0.25">
      <c r="A62" t="s">
        <v>130</v>
      </c>
      <c r="B62" t="s">
        <v>27</v>
      </c>
      <c r="C62" s="1">
        <v>46340</v>
      </c>
      <c r="D62" t="s">
        <v>53</v>
      </c>
      <c r="E62" t="s">
        <v>14</v>
      </c>
      <c r="G62" t="s">
        <v>125</v>
      </c>
      <c r="H62" t="s">
        <v>24</v>
      </c>
      <c r="I62" s="2">
        <v>46340.416666666701</v>
      </c>
      <c r="J62" s="2">
        <v>46340.583333333299</v>
      </c>
      <c r="K62" t="s">
        <v>47</v>
      </c>
      <c r="L62" s="3">
        <f>(Tabela1[[#This Row],[Horario Fim]]-Tabela1[[#This Row],[Horario Inicio]])*24</f>
        <v>3.9999999983701855</v>
      </c>
      <c r="M62">
        <f>SUBTOTAL(103,Tabela1[[#This Row],[Projeto]])</f>
        <v>1</v>
      </c>
    </row>
    <row r="63" spans="1:13" x14ac:dyDescent="0.25">
      <c r="A63" t="s">
        <v>87</v>
      </c>
      <c r="B63" t="s">
        <v>27</v>
      </c>
      <c r="C63" s="1">
        <v>46340</v>
      </c>
      <c r="D63" t="s">
        <v>53</v>
      </c>
      <c r="E63" t="s">
        <v>14</v>
      </c>
      <c r="G63" t="s">
        <v>125</v>
      </c>
      <c r="H63" t="s">
        <v>24</v>
      </c>
      <c r="I63" s="2">
        <v>46340.416666666701</v>
      </c>
      <c r="J63" s="2">
        <v>46340.583333333299</v>
      </c>
      <c r="K63" t="s">
        <v>47</v>
      </c>
      <c r="L63" s="3">
        <f>(Tabela1[[#This Row],[Horario Fim]]-Tabela1[[#This Row],[Horario Inicio]])*24</f>
        <v>3.9999999983701855</v>
      </c>
      <c r="M63">
        <f>SUBTOTAL(103,Tabela1[[#This Row],[Projeto]])</f>
        <v>1</v>
      </c>
    </row>
    <row r="64" spans="1:13" x14ac:dyDescent="0.25">
      <c r="A64" t="s">
        <v>131</v>
      </c>
      <c r="B64" t="s">
        <v>27</v>
      </c>
      <c r="C64" s="1">
        <v>46340</v>
      </c>
      <c r="D64" t="s">
        <v>53</v>
      </c>
      <c r="E64" t="s">
        <v>14</v>
      </c>
      <c r="G64" t="s">
        <v>125</v>
      </c>
      <c r="H64" t="s">
        <v>24</v>
      </c>
      <c r="I64" s="2">
        <v>46340.416666666701</v>
      </c>
      <c r="J64" s="2">
        <v>46340.583333333299</v>
      </c>
      <c r="K64" t="s">
        <v>47</v>
      </c>
      <c r="L64" s="3">
        <f>(Tabela1[[#This Row],[Horario Fim]]-Tabela1[[#This Row],[Horario Inicio]])*24</f>
        <v>3.9999999983701855</v>
      </c>
      <c r="M64">
        <f>SUBTOTAL(103,Tabela1[[#This Row],[Projeto]])</f>
        <v>1</v>
      </c>
    </row>
    <row r="65" spans="1:13" x14ac:dyDescent="0.25">
      <c r="A65" t="s">
        <v>132</v>
      </c>
      <c r="B65" t="s">
        <v>27</v>
      </c>
      <c r="C65" s="1">
        <v>46340</v>
      </c>
      <c r="D65" t="s">
        <v>53</v>
      </c>
      <c r="E65" t="s">
        <v>14</v>
      </c>
      <c r="G65" t="s">
        <v>125</v>
      </c>
      <c r="H65" t="s">
        <v>24</v>
      </c>
      <c r="I65" s="2">
        <v>46340.416666666701</v>
      </c>
      <c r="J65" s="2">
        <v>46340.583333333299</v>
      </c>
      <c r="K65" t="s">
        <v>47</v>
      </c>
      <c r="L65" s="3">
        <f>(Tabela1[[#This Row],[Horario Fim]]-Tabela1[[#This Row],[Horario Inicio]])*24</f>
        <v>3.9999999983701855</v>
      </c>
      <c r="M65">
        <f>SUBTOTAL(103,Tabela1[[#This Row],[Projeto]])</f>
        <v>1</v>
      </c>
    </row>
    <row r="66" spans="1:13" x14ac:dyDescent="0.25">
      <c r="A66" t="s">
        <v>133</v>
      </c>
      <c r="B66" t="s">
        <v>21</v>
      </c>
      <c r="C66" s="1">
        <v>46348</v>
      </c>
      <c r="D66" t="s">
        <v>53</v>
      </c>
      <c r="E66" t="s">
        <v>14</v>
      </c>
      <c r="G66" t="s">
        <v>123</v>
      </c>
      <c r="H66" t="s">
        <v>17</v>
      </c>
      <c r="I66" s="2">
        <v>46348.416666666701</v>
      </c>
      <c r="J66" s="2">
        <v>46348.583333333299</v>
      </c>
      <c r="K66" t="s">
        <v>47</v>
      </c>
      <c r="L66" s="3">
        <f>(Tabela1[[#This Row],[Horario Fim]]-Tabela1[[#This Row],[Horario Inicio]])*24</f>
        <v>3.9999999983701855</v>
      </c>
      <c r="M66">
        <f>SUBTOTAL(103,Tabela1[[#This Row],[Projeto]])</f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69599-AD26-46FA-B2EE-B2F90C2BA122}">
  <dimension ref="A1:N20"/>
  <sheetViews>
    <sheetView workbookViewId="0"/>
  </sheetViews>
  <sheetFormatPr defaultRowHeight="15" x14ac:dyDescent="0.25"/>
  <cols>
    <col min="1" max="1" width="28.85546875" bestFit="1" customWidth="1"/>
    <col min="2" max="2" width="12.42578125" bestFit="1" customWidth="1"/>
    <col min="4" max="4" width="7.7109375" bestFit="1" customWidth="1"/>
    <col min="5" max="5" width="12.42578125" bestFit="1" customWidth="1"/>
    <col min="7" max="7" width="36.42578125" bestFit="1" customWidth="1"/>
    <col min="8" max="8" width="12.42578125" bestFit="1" customWidth="1"/>
    <col min="10" max="10" width="41.7109375" bestFit="1" customWidth="1"/>
    <col min="11" max="11" width="12.42578125" bestFit="1" customWidth="1"/>
    <col min="13" max="13" width="20.7109375" bestFit="1" customWidth="1"/>
    <col min="14" max="14" width="12.42578125" bestFit="1" customWidth="1"/>
  </cols>
  <sheetData>
    <row r="1" spans="1:14" x14ac:dyDescent="0.25">
      <c r="A1" s="6" t="s">
        <v>136</v>
      </c>
      <c r="B1" s="6" t="s">
        <v>137</v>
      </c>
      <c r="C1" s="4"/>
      <c r="D1" s="6" t="s">
        <v>138</v>
      </c>
      <c r="E1" s="6" t="s">
        <v>137</v>
      </c>
      <c r="F1" s="4"/>
      <c r="G1" s="6" t="s">
        <v>139</v>
      </c>
      <c r="H1" s="6" t="s">
        <v>137</v>
      </c>
      <c r="I1" s="4"/>
      <c r="J1" s="6" t="s">
        <v>10</v>
      </c>
      <c r="K1" s="6" t="s">
        <v>137</v>
      </c>
      <c r="L1" s="4"/>
      <c r="M1" s="6" t="s">
        <v>140</v>
      </c>
      <c r="N1" s="6" t="s">
        <v>137</v>
      </c>
    </row>
    <row r="2" spans="1:14" x14ac:dyDescent="0.25">
      <c r="A2" s="4" t="s">
        <v>13</v>
      </c>
      <c r="B2" s="4">
        <f>SUMIFS(Tabela1[Visível],Tabela1[Status Programacao],A2)</f>
        <v>23</v>
      </c>
      <c r="C2" s="4"/>
      <c r="D2" s="4" t="s">
        <v>24</v>
      </c>
      <c r="E2" s="4">
        <f>SUMIFS(Tabela1[Visível],Tabela1[Regiao],D2)</f>
        <v>58</v>
      </c>
      <c r="F2" s="4"/>
      <c r="G2" s="4" t="s">
        <v>21</v>
      </c>
      <c r="H2" s="4">
        <f>SUMIFS(Tabela1[Visível],Tabela1[Descrição do Projeto],G2)</f>
        <v>37</v>
      </c>
      <c r="I2" s="4"/>
      <c r="J2" s="4" t="s">
        <v>25</v>
      </c>
      <c r="K2" s="4">
        <f>SUMIFS(Tabela1[Visível],Tabela1[Contratada],J2)</f>
        <v>25</v>
      </c>
      <c r="L2" s="4"/>
      <c r="M2" s="5">
        <v>46314</v>
      </c>
      <c r="N2" s="4">
        <f>SUMIFS(Tabela1[Visível],Tabela1[Data Programacao],"&gt;="&amp;M2,Tabela1[Data Programacao],"&lt;"&amp;M2+7)</f>
        <v>9</v>
      </c>
    </row>
    <row r="3" spans="1:14" x14ac:dyDescent="0.25">
      <c r="A3" s="4" t="s">
        <v>53</v>
      </c>
      <c r="B3" s="4">
        <f>SUMIFS(Tabela1[Visível],Tabela1[Status Programacao],A3)</f>
        <v>22</v>
      </c>
      <c r="C3" s="4"/>
      <c r="D3" s="4" t="s">
        <v>17</v>
      </c>
      <c r="E3" s="4">
        <f>SUMIFS(Tabela1[Visível],Tabela1[Regiao],D3)</f>
        <v>7</v>
      </c>
      <c r="F3" s="4"/>
      <c r="G3" s="4" t="s">
        <v>27</v>
      </c>
      <c r="H3" s="4">
        <f>SUMIFS(Tabela1[Visível],Tabela1[Descrição do Projeto],G3)</f>
        <v>15</v>
      </c>
      <c r="I3" s="4"/>
      <c r="J3" s="4" t="s">
        <v>47</v>
      </c>
      <c r="K3" s="4">
        <f>SUMIFS(Tabela1[Visível],Tabela1[Contratada],J3)</f>
        <v>24</v>
      </c>
      <c r="L3" s="4"/>
      <c r="M3" s="5">
        <v>46321</v>
      </c>
      <c r="N3" s="4">
        <f>SUMIFS(Tabela1[Visível],Tabela1[Data Programacao],"&gt;="&amp;M3,Tabela1[Data Programacao],"&lt;"&amp;M3+7)</f>
        <v>17</v>
      </c>
    </row>
    <row r="4" spans="1:14" x14ac:dyDescent="0.25">
      <c r="A4" s="4" t="s">
        <v>45</v>
      </c>
      <c r="B4" s="4">
        <f>SUMIFS(Tabela1[Visível],Tabela1[Status Programacao],A4)</f>
        <v>20</v>
      </c>
      <c r="C4" s="4"/>
      <c r="D4" s="4"/>
      <c r="E4" s="4"/>
      <c r="F4" s="4"/>
      <c r="G4" s="4" t="s">
        <v>12</v>
      </c>
      <c r="H4" s="4">
        <f>SUMIFS(Tabela1[Visível],Tabela1[Descrição do Projeto],G4)</f>
        <v>5</v>
      </c>
      <c r="I4" s="4"/>
      <c r="J4" s="4" t="s">
        <v>18</v>
      </c>
      <c r="K4" s="4">
        <f>SUMIFS(Tabela1[Visível],Tabela1[Contratada],J4)</f>
        <v>15</v>
      </c>
      <c r="L4" s="4"/>
      <c r="M4" s="5">
        <v>46328</v>
      </c>
      <c r="N4" s="4">
        <f>SUMIFS(Tabela1[Visível],Tabela1[Data Programacao],"&gt;="&amp;M4,Tabela1[Data Programacao],"&lt;"&amp;M4+7)</f>
        <v>12</v>
      </c>
    </row>
    <row r="5" spans="1:14" x14ac:dyDescent="0.25">
      <c r="A5" s="4"/>
      <c r="B5" s="4"/>
      <c r="C5" s="4"/>
      <c r="D5" s="4"/>
      <c r="E5" s="4"/>
      <c r="F5" s="4"/>
      <c r="G5" s="4" t="s">
        <v>33</v>
      </c>
      <c r="H5" s="4">
        <f>SUMIFS(Tabela1[Visível],Tabela1[Descrição do Projeto],G5)</f>
        <v>4</v>
      </c>
      <c r="I5" s="4"/>
      <c r="J5" s="4" t="s">
        <v>70</v>
      </c>
      <c r="K5" s="4">
        <f>SUMIFS(Tabela1[Visível],Tabela1[Contratada],J5)</f>
        <v>1</v>
      </c>
      <c r="L5" s="4"/>
      <c r="M5" s="5">
        <v>46335</v>
      </c>
      <c r="N5" s="4">
        <f>SUMIFS(Tabela1[Visível],Tabela1[Data Programacao],"&gt;="&amp;M5,Tabela1[Data Programacao],"&lt;"&amp;M5+7)</f>
        <v>22</v>
      </c>
    </row>
    <row r="6" spans="1:14" x14ac:dyDescent="0.25">
      <c r="A6" s="4"/>
      <c r="B6" s="4"/>
      <c r="C6" s="4"/>
      <c r="D6" s="4"/>
      <c r="E6" s="4"/>
      <c r="F6" s="4"/>
      <c r="G6" s="4" t="s">
        <v>44</v>
      </c>
      <c r="H6" s="4">
        <f>SUMIFS(Tabela1[Visível],Tabela1[Descrição do Projeto],G6)</f>
        <v>2</v>
      </c>
      <c r="I6" s="4"/>
      <c r="J6" s="4"/>
      <c r="K6" s="4"/>
      <c r="L6" s="4"/>
      <c r="M6" s="5">
        <v>46342</v>
      </c>
      <c r="N6" s="4">
        <f>SUMIFS(Tabela1[Visível],Tabela1[Data Programacao],"&gt;="&amp;M6,Tabela1[Data Programacao],"&lt;"&amp;M6+7)</f>
        <v>5</v>
      </c>
    </row>
    <row r="7" spans="1:14" x14ac:dyDescent="0.25">
      <c r="A7" s="4"/>
      <c r="B7" s="4"/>
      <c r="C7" s="4"/>
      <c r="D7" s="4"/>
      <c r="E7" s="4"/>
      <c r="F7" s="4"/>
      <c r="G7" s="4" t="s">
        <v>49</v>
      </c>
      <c r="H7" s="4">
        <f>SUMIFS(Tabela1[Visível],Tabela1[Descrição do Projeto],G7)</f>
        <v>1</v>
      </c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 t="s">
        <v>97</v>
      </c>
      <c r="H8" s="4">
        <f>SUMIFS(Tabela1[Visível],Tabela1[Descrição do Projeto],G8)</f>
        <v>1</v>
      </c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 PIE</vt:lpstr>
      <vt:lpstr>PIE</vt:lpstr>
      <vt:lpstr>Dados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gilmar campos</dc:creator>
  <cp:lastModifiedBy>gilmar campos</cp:lastModifiedBy>
  <dcterms:created xsi:type="dcterms:W3CDTF">2026-10-17T18:27:23Z</dcterms:created>
  <dcterms:modified xsi:type="dcterms:W3CDTF">2026-10-17T19:13:50Z</dcterms:modified>
</cp:coreProperties>
</file>